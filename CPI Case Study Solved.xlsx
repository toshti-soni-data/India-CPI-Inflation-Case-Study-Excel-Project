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ind\"/>
    </mc:Choice>
  </mc:AlternateContent>
  <xr:revisionPtr revIDLastSave="0" documentId="13_ncr:1_{0CAC2F6B-C7FF-4C9F-BB73-06E1475B9CE9}" xr6:coauthVersionLast="47" xr6:coauthVersionMax="47" xr10:uidLastSave="{00000000-0000-0000-0000-000000000000}"/>
  <bookViews>
    <workbookView xWindow="20370" yWindow="-120" windowWidth="24240" windowHeight="13140" activeTab="2" xr2:uid="{A70A6813-371C-4440-9445-57F6BD18240F}"/>
  </bookViews>
  <sheets>
    <sheet name="Dashboard" sheetId="9" r:id="rId1"/>
    <sheet name="Objectives" sheetId="12" r:id="rId2"/>
    <sheet name="Working_File" sheetId="1" r:id="rId3"/>
    <sheet name="Objective - 1" sheetId="2" r:id="rId4"/>
    <sheet name="Objective - 2" sheetId="3" r:id="rId5"/>
    <sheet name="Objective - 3" sheetId="4" r:id="rId6"/>
    <sheet name="Objective - 4" sheetId="6" r:id="rId7"/>
    <sheet name="Objective - 5" sheetId="11" r:id="rId8"/>
    <sheet name="Data Cleaning" sheetId="13" r:id="rId9"/>
  </sheets>
  <definedNames>
    <definedName name="_xlnm._FilterDatabase" localSheetId="4" hidden="1">'Objective - 2'!$A$1:$D$16</definedName>
    <definedName name="_xlnm._FilterDatabase" localSheetId="2" hidden="1">Working_File!$A$1:$AD$376</definedName>
    <definedName name="_xlchart.v1.0" hidden="1">'Objective - 3'!$B$3:$B$13</definedName>
    <definedName name="_xlchart.v1.1" hidden="1">'Objective - 3'!$D$3:$D$13</definedName>
    <definedName name="_xlchart.v1.2" hidden="1">'Objective - 3'!$B$3:$B$13</definedName>
    <definedName name="_xlchart.v1.3" hidden="1">'Objective - 3'!$D$3:$D$13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1" l="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6" i="11"/>
  <c r="G8" i="6" l="1"/>
  <c r="E8" i="6"/>
  <c r="C8" i="6"/>
  <c r="G7" i="6"/>
  <c r="E7" i="6"/>
  <c r="C7" i="6"/>
  <c r="G6" i="6"/>
  <c r="E6" i="6"/>
  <c r="C6" i="6"/>
  <c r="G5" i="6"/>
  <c r="E5" i="6"/>
  <c r="C5" i="6"/>
  <c r="G4" i="6"/>
  <c r="E4" i="6"/>
  <c r="C4" i="6"/>
  <c r="G3" i="6"/>
  <c r="E3" i="6"/>
  <c r="C3" i="6"/>
  <c r="J14" i="4"/>
  <c r="J13" i="4"/>
  <c r="D13" i="4"/>
  <c r="J12" i="4"/>
  <c r="D12" i="4"/>
  <c r="J11" i="4"/>
  <c r="D11" i="4"/>
  <c r="J10" i="4"/>
  <c r="D10" i="4"/>
  <c r="J9" i="4"/>
  <c r="D9" i="4"/>
  <c r="J8" i="4"/>
  <c r="D8" i="4"/>
  <c r="J7" i="4"/>
  <c r="D7" i="4"/>
  <c r="J6" i="4"/>
  <c r="D6" i="4"/>
  <c r="J5" i="4"/>
  <c r="D5" i="4"/>
  <c r="J4" i="4"/>
  <c r="D4" i="4"/>
  <c r="J3" i="4"/>
  <c r="D3" i="4"/>
  <c r="J2" i="4"/>
  <c r="D8" i="3"/>
  <c r="D7" i="3"/>
  <c r="D6" i="3"/>
  <c r="D5" i="3"/>
  <c r="D4" i="3"/>
  <c r="D3" i="3"/>
  <c r="D11" i="2"/>
  <c r="E10" i="2" s="1"/>
  <c r="X268" i="1"/>
  <c r="V268" i="1"/>
  <c r="P268" i="1"/>
  <c r="N268" i="1"/>
  <c r="M268" i="1"/>
  <c r="L268" i="1"/>
  <c r="K268" i="1"/>
  <c r="J268" i="1"/>
  <c r="I268" i="1"/>
  <c r="H268" i="1"/>
  <c r="G268" i="1"/>
  <c r="F268" i="1"/>
  <c r="D268" i="1"/>
  <c r="X267" i="1"/>
  <c r="V267" i="1"/>
  <c r="P267" i="1"/>
  <c r="N267" i="1"/>
  <c r="M267" i="1"/>
  <c r="L267" i="1"/>
  <c r="K267" i="1"/>
  <c r="J267" i="1"/>
  <c r="I267" i="1"/>
  <c r="H267" i="1"/>
  <c r="G267" i="1"/>
  <c r="F267" i="1"/>
  <c r="D267" i="1"/>
  <c r="X266" i="1"/>
  <c r="V266" i="1"/>
  <c r="P266" i="1"/>
  <c r="N266" i="1"/>
  <c r="M266" i="1"/>
  <c r="L266" i="1"/>
  <c r="K266" i="1"/>
  <c r="J266" i="1"/>
  <c r="I266" i="1"/>
  <c r="H266" i="1"/>
  <c r="G266" i="1"/>
  <c r="F266" i="1"/>
  <c r="D266" i="1"/>
  <c r="AD265" i="1"/>
  <c r="AD268" i="1" s="1"/>
  <c r="AC265" i="1"/>
  <c r="AC268" i="1" s="1"/>
  <c r="AB265" i="1"/>
  <c r="AB268" i="1" s="1"/>
  <c r="AA265" i="1"/>
  <c r="AA268" i="1" s="1"/>
  <c r="Z265" i="1"/>
  <c r="Z268" i="1" s="1"/>
  <c r="Y265" i="1"/>
  <c r="Y268" i="1" s="1"/>
  <c r="W265" i="1"/>
  <c r="W268" i="1" s="1"/>
  <c r="U265" i="1"/>
  <c r="U268" i="1" s="1"/>
  <c r="T265" i="1"/>
  <c r="T268" i="1" s="1"/>
  <c r="S265" i="1"/>
  <c r="S268" i="1" s="1"/>
  <c r="R265" i="1"/>
  <c r="R268" i="1" s="1"/>
  <c r="Q265" i="1"/>
  <c r="Q268" i="1" s="1"/>
  <c r="O265" i="1"/>
  <c r="O268" i="1" s="1"/>
  <c r="E265" i="1"/>
  <c r="E268" i="1" s="1"/>
  <c r="AD264" i="1"/>
  <c r="AD267" i="1" s="1"/>
  <c r="AC264" i="1"/>
  <c r="AC267" i="1" s="1"/>
  <c r="AB264" i="1"/>
  <c r="AB267" i="1" s="1"/>
  <c r="AA264" i="1"/>
  <c r="AA267" i="1" s="1"/>
  <c r="Z264" i="1"/>
  <c r="Z267" i="1" s="1"/>
  <c r="Y264" i="1"/>
  <c r="Y267" i="1" s="1"/>
  <c r="W264" i="1"/>
  <c r="W267" i="1" s="1"/>
  <c r="U264" i="1"/>
  <c r="U267" i="1" s="1"/>
  <c r="T264" i="1"/>
  <c r="T267" i="1" s="1"/>
  <c r="S264" i="1"/>
  <c r="S267" i="1" s="1"/>
  <c r="R264" i="1"/>
  <c r="R267" i="1" s="1"/>
  <c r="Q264" i="1"/>
  <c r="Q267" i="1" s="1"/>
  <c r="O264" i="1"/>
  <c r="O267" i="1" s="1"/>
  <c r="E264" i="1"/>
  <c r="E267" i="1" s="1"/>
  <c r="AD263" i="1"/>
  <c r="AD266" i="1" s="1"/>
  <c r="AC263" i="1"/>
  <c r="AC266" i="1" s="1"/>
  <c r="AB263" i="1"/>
  <c r="AB266" i="1" s="1"/>
  <c r="AA263" i="1"/>
  <c r="AA266" i="1" s="1"/>
  <c r="Z263" i="1"/>
  <c r="Z266" i="1" s="1"/>
  <c r="Y263" i="1"/>
  <c r="Y266" i="1" s="1"/>
  <c r="W263" i="1"/>
  <c r="W266" i="1" s="1"/>
  <c r="U263" i="1"/>
  <c r="U266" i="1" s="1"/>
  <c r="T263" i="1"/>
  <c r="T266" i="1" s="1"/>
  <c r="S263" i="1"/>
  <c r="S266" i="1" s="1"/>
  <c r="R263" i="1"/>
  <c r="R266" i="1" s="1"/>
  <c r="Q263" i="1"/>
  <c r="Q266" i="1" s="1"/>
  <c r="O263" i="1"/>
  <c r="O266" i="1" s="1"/>
  <c r="E263" i="1"/>
  <c r="E266" i="1" s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AD227" i="1"/>
  <c r="AC227" i="1"/>
  <c r="AB227" i="1"/>
  <c r="AA227" i="1"/>
  <c r="Z227" i="1"/>
  <c r="Y227" i="1"/>
  <c r="X227" i="1"/>
  <c r="W227" i="1"/>
  <c r="V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E3" i="2" l="1"/>
  <c r="E7" i="2"/>
  <c r="E4" i="2"/>
  <c r="E8" i="2"/>
  <c r="E5" i="2"/>
  <c r="E9" i="2"/>
  <c r="E2" i="2"/>
  <c r="E6" i="2"/>
  <c r="E11" i="2" l="1"/>
</calcChain>
</file>

<file path=xl/sharedStrings.xml><?xml version="1.0" encoding="utf-8"?>
<sst xmlns="http://schemas.openxmlformats.org/spreadsheetml/2006/main" count="1214" uniqueCount="165">
  <si>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</si>
  <si>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</si>
  <si>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</si>
  <si>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</si>
  <si>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</si>
  <si>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</si>
  <si>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</si>
  <si>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</si>
  <si>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</si>
  <si>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</si>
  <si>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</si>
  <si>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</si>
  <si>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</si>
  <si>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</si>
  <si>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</si>
  <si>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</si>
  <si>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</si>
  <si>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</si>
  <si>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</si>
  <si>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</si>
  <si>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</si>
  <si>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</si>
  <si>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</si>
  <si>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</si>
  <si>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</si>
  <si>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</si>
  <si>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</si>
  <si>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</si>
  <si>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</si>
  <si>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</si>
  <si>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</si>
  <si>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</si>
  <si>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</si>
  <si>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</si>
  <si>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</si>
  <si>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</si>
  <si>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</si>
  <si>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</si>
  <si>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</si>
  <si>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</si>
  <si>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</si>
  <si>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</si>
  <si>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</si>
  <si>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</si>
  <si>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</si>
  <si>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</si>
  <si>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</si>
  <si>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</si>
  <si>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Bucket</t>
  </si>
  <si>
    <t>Categories</t>
  </si>
  <si>
    <t>Weight</t>
  </si>
  <si>
    <t>Sum of Index Values</t>
  </si>
  <si>
    <t>Contribution</t>
  </si>
  <si>
    <t>Food Products</t>
  </si>
  <si>
    <t>Cereals and products, Meat and fish, Milk and products, Oils and fats, Fruits, Vegetables, Pulses and products, Sugar and Confectionery, Spices, Non-alcoholic beverages, Prepared meals, snacks, sweets etc., Food and beverages, Egg</t>
  </si>
  <si>
    <t>Energy</t>
  </si>
  <si>
    <t>Transportation</t>
  </si>
  <si>
    <t>Apparel</t>
  </si>
  <si>
    <t>Footwear, Clothing and footwear</t>
  </si>
  <si>
    <t>Housing, Household goods and services</t>
  </si>
  <si>
    <t>Health, Personal care and effects</t>
  </si>
  <si>
    <t>Tobacco &amp; Intoxicants</t>
  </si>
  <si>
    <t>Miscellaneous, Recreation and amusement</t>
  </si>
  <si>
    <t>Food Products has highest Contribution</t>
  </si>
  <si>
    <t>General Index</t>
  </si>
  <si>
    <t>YOY</t>
  </si>
  <si>
    <t>MOM</t>
  </si>
  <si>
    <t>Items</t>
  </si>
  <si>
    <t>Absolute Change</t>
  </si>
  <si>
    <t>Food &amp; Beverages</t>
  </si>
  <si>
    <t>Household Goods &amp; Services</t>
  </si>
  <si>
    <t>YoY</t>
  </si>
  <si>
    <t>Category</t>
  </si>
  <si>
    <t>Average</t>
  </si>
  <si>
    <t>Crude Oil Price</t>
  </si>
  <si>
    <t xml:space="preserve">Housing </t>
  </si>
  <si>
    <t>Average of Crude Oil Price</t>
  </si>
  <si>
    <t>2021</t>
  </si>
  <si>
    <t>2022</t>
  </si>
  <si>
    <t>2023</t>
  </si>
  <si>
    <t>Correlation with Crude Oil</t>
  </si>
  <si>
    <t>Spice has highest Contribution</t>
  </si>
  <si>
    <t>Objective 1</t>
  </si>
  <si>
    <t>Data Dictionary</t>
  </si>
  <si>
    <t>Based on the latest month's data, identify the contribution of different borader categories towards CPI basket.</t>
  </si>
  <si>
    <t>Column Name</t>
  </si>
  <si>
    <t>Description</t>
  </si>
  <si>
    <t>Broader categories can be created by combining similar categories into one bucket</t>
  </si>
  <si>
    <t>Tells about the sector of research- urban, rural, urban + rural</t>
  </si>
  <si>
    <t>Ex: meal, beverages, etc can be clubbed into Food broader category</t>
  </si>
  <si>
    <t>Tells about the year of research</t>
  </si>
  <si>
    <t>Which broader category has the highest contribution towards CPI calculation</t>
  </si>
  <si>
    <t>Tells about the month of research</t>
  </si>
  <si>
    <t>Contribution is calculated by evaluting the underlying index values for broader category</t>
  </si>
  <si>
    <t>CPI index of cereals and products</t>
  </si>
  <si>
    <t>and should add to 100%  when contribution from different broader categories are added.</t>
  </si>
  <si>
    <t>CPI index of Meat and Fish</t>
  </si>
  <si>
    <t>CPI index of Egg</t>
  </si>
  <si>
    <t>CPI index of Milk and products</t>
  </si>
  <si>
    <t>Objective 2</t>
  </si>
  <si>
    <t>CPI index of Oils and fats</t>
  </si>
  <si>
    <t>A trend of Y-o-Y increase in CPI (rural + urban) inflaion starting from 2017 for the entire basket of products combined.</t>
  </si>
  <si>
    <t>CPI index of Fruits</t>
  </si>
  <si>
    <t>Create a graph depicting the growth rate Y-o-Y and identify the year with highest inflation rate.</t>
  </si>
  <si>
    <t>CPI index of Vegetables</t>
  </si>
  <si>
    <t>Highlight the reason why the year has the highest inflation.</t>
  </si>
  <si>
    <t>CPI index of Pulses and products</t>
  </si>
  <si>
    <t>CPI index of Sugar and Confectionery</t>
  </si>
  <si>
    <t>CPI index of Spices</t>
  </si>
  <si>
    <t>Objective 3</t>
  </si>
  <si>
    <t>CPI index of Non-alcoholic beverages</t>
  </si>
  <si>
    <t>With the india's retail inflation reaching a 3-month high of 5.55% in Nov 2023, largley due to sharp rise in food prices.</t>
  </si>
  <si>
    <t>CPI index of Prepared meals, snacks, sweets etc.</t>
  </si>
  <si>
    <t>Analyze the following for 12 months ending May 2023.</t>
  </si>
  <si>
    <t>CPI index of Food and beverages</t>
  </si>
  <si>
    <t xml:space="preserve">Investigate trends in the prices of broader food bucket category and evalute month-on-month changes. Highlight the </t>
  </si>
  <si>
    <t>CPI index of Pan, tobacco and intoxicants</t>
  </si>
  <si>
    <t>month with highest and lowest food inflation.</t>
  </si>
  <si>
    <t>CPI index of Clothing</t>
  </si>
  <si>
    <t>Identify the absolute change in the inflation over the same 12-months period and identify the biggest individual</t>
  </si>
  <si>
    <t>CPI index of Footwear</t>
  </si>
  <si>
    <t>category contributor towards inflation (only within broader category).</t>
  </si>
  <si>
    <t>CPI index of Clothing and footwear</t>
  </si>
  <si>
    <t>CPI index of Housing</t>
  </si>
  <si>
    <t>CPI index of Fuel and light</t>
  </si>
  <si>
    <t>Objective 4</t>
  </si>
  <si>
    <t>CPI index of Household goods and services</t>
  </si>
  <si>
    <t>Investigate how the onset and progression of covid-19 pandemic affected inflation rates in india.</t>
  </si>
  <si>
    <t>CPI index of Health</t>
  </si>
  <si>
    <t>Analyze the effects of key pandemic milestone on the CPI inflation % and especially focus on the categories like food,</t>
  </si>
  <si>
    <t>CPI index of Transport and communication</t>
  </si>
  <si>
    <t>healthcare, and essential services.</t>
  </si>
  <si>
    <t>CPI index of Recreation and amusement</t>
  </si>
  <si>
    <t>You can consider March 2020 as the onset of covid, and can compare the inflation trend before and after March 2020 to</t>
  </si>
  <si>
    <t>CPI index of Education</t>
  </si>
  <si>
    <t>see if there is a change in inflation % before and after.</t>
  </si>
  <si>
    <t>CPI index of Personal care and effects</t>
  </si>
  <si>
    <t>CPI index of Miscellaneous</t>
  </si>
  <si>
    <t>Overall CPI index, generalised</t>
  </si>
  <si>
    <t>Objective 5</t>
  </si>
  <si>
    <t>Food</t>
  </si>
  <si>
    <t>Aggregated CPI index forFood-Broader (Cereals, egg, milk, oils column upto pan, tabbacco</t>
  </si>
  <si>
    <t>Investigate how major global economic events (like imported crude oil price fluctuations) have influenced India's</t>
  </si>
  <si>
    <t>Essentials</t>
  </si>
  <si>
    <t>Aggregated CPI index for Housing, Transport, Education, Fuel and Light etc.</t>
  </si>
  <si>
    <t>inflation. This can include analysis of imported goods and their price trends.</t>
  </si>
  <si>
    <t xml:space="preserve">Clothing </t>
  </si>
  <si>
    <t>Aggregated CPI index for Clothing (Clothing, footwear cols)</t>
  </si>
  <si>
    <t>For this analysis, focus only on imported oil price fluctuations data from year 2021 to 2023 (Month-on-Month)</t>
  </si>
  <si>
    <t xml:space="preserve">Premium </t>
  </si>
  <si>
    <t>Aggregated CPI index of Pan, Tobacco, Recreation and Amusement, Personal Care</t>
  </si>
  <si>
    <t>Identify trend in oil price change with change in inflation prices of all the categories and identify categories whose</t>
  </si>
  <si>
    <t>inflation prices strongly changes with fluctuations in imported oil price. (correl function can be used)</t>
  </si>
  <si>
    <t>Impute the missing values with moving averages</t>
  </si>
  <si>
    <t>For missing values of april and  may 2020, impute with averages of Feb, Mar, Jun, Jul</t>
  </si>
  <si>
    <t>For missing values of may 2020, impute with averages of Apr and Jun</t>
  </si>
  <si>
    <t>For NA values in housing col for rural sector, impute using the average value of urban and rural + urban sectors</t>
  </si>
  <si>
    <t>Created New columns for broader categories</t>
  </si>
  <si>
    <t>Summed up all the food categories into a broader Food category and housing, fuel and light, household goods, transport, and education into essentials</t>
  </si>
  <si>
    <t>Map related categories to a broader category</t>
  </si>
  <si>
    <t>Combining all the food categories into one broader Food Category</t>
  </si>
  <si>
    <t>Clothing, footwear products into Clothing</t>
  </si>
  <si>
    <t xml:space="preserve">Housing, fuel and light, Household goods, transport, and education into Essentials </t>
  </si>
  <si>
    <t>Pan and tabacco, Recreation and amusement, and Personal care into Premium</t>
  </si>
  <si>
    <t>Others broader categories are Health, Miscellaneous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</si>
</sst>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mmmm\-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9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2" borderId="9" xfId="0" applyFill="1" applyBorder="1"/>
    <xf numFmtId="17" fontId="0" fillId="2" borderId="10" xfId="0" applyNumberFormat="1" applyFill="1" applyBorder="1"/>
    <xf numFmtId="4" fontId="7" fillId="2" borderId="11" xfId="0" applyNumberFormat="1" applyFont="1" applyFill="1" applyBorder="1" applyAlignment="1">
      <alignment horizontal="right" vertical="center"/>
    </xf>
    <xf numFmtId="0" fontId="0" fillId="0" borderId="9" xfId="0" applyBorder="1"/>
    <xf numFmtId="17" fontId="0" fillId="0" borderId="10" xfId="0" applyNumberFormat="1" applyBorder="1"/>
    <xf numFmtId="4" fontId="7" fillId="0" borderId="11" xfId="0" applyNumberFormat="1" applyFont="1" applyBorder="1" applyAlignment="1">
      <alignment horizontal="right" vertical="center"/>
    </xf>
    <xf numFmtId="0" fontId="0" fillId="0" borderId="12" xfId="0" applyBorder="1"/>
    <xf numFmtId="17" fontId="0" fillId="0" borderId="13" xfId="0" applyNumberFormat="1" applyBorder="1"/>
    <xf numFmtId="4" fontId="7" fillId="0" borderId="14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9" fontId="0" fillId="0" borderId="7" xfId="1" applyFont="1" applyBorder="1"/>
    <xf numFmtId="9" fontId="0" fillId="0" borderId="8" xfId="1" applyFont="1" applyBorder="1"/>
    <xf numFmtId="0" fontId="2" fillId="3" borderId="1" xfId="0" applyFont="1" applyFill="1" applyBorder="1"/>
    <xf numFmtId="0" fontId="2" fillId="3" borderId="6" xfId="0" applyFont="1" applyFill="1" applyBorder="1"/>
    <xf numFmtId="17" fontId="2" fillId="3" borderId="1" xfId="0" applyNumberFormat="1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2" fillId="4" borderId="6" xfId="0" applyFont="1" applyFill="1" applyBorder="1"/>
    <xf numFmtId="0" fontId="2" fillId="5" borderId="0" xfId="0" applyFont="1" applyFill="1"/>
    <xf numFmtId="0" fontId="0" fillId="5" borderId="0" xfId="0" applyFill="1"/>
    <xf numFmtId="10" fontId="0" fillId="5" borderId="0" xfId="1" applyNumberFormat="1" applyFont="1" applyFill="1" applyBorder="1"/>
    <xf numFmtId="0" fontId="11" fillId="5" borderId="16" xfId="0" applyFont="1" applyFill="1" applyBorder="1" applyAlignment="1">
      <alignment wrapText="1"/>
    </xf>
    <xf numFmtId="9" fontId="11" fillId="5" borderId="0" xfId="1" applyFont="1" applyFill="1" applyBorder="1" applyAlignment="1">
      <alignment wrapText="1"/>
    </xf>
    <xf numFmtId="0" fontId="11" fillId="5" borderId="15" xfId="0" applyFont="1" applyFill="1" applyBorder="1" applyAlignment="1">
      <alignment wrapText="1"/>
    </xf>
    <xf numFmtId="0" fontId="10" fillId="5" borderId="0" xfId="0" applyFont="1" applyFill="1" applyAlignment="1">
      <alignment horizontal="left" vertical="center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1" fontId="4" fillId="5" borderId="2" xfId="0" applyNumberFormat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4" fillId="5" borderId="1" xfId="0" applyFont="1" applyFill="1" applyBorder="1"/>
    <xf numFmtId="2" fontId="4" fillId="5" borderId="1" xfId="0" applyNumberFormat="1" applyFont="1" applyFill="1" applyBorder="1" applyAlignment="1">
      <alignment vertical="center"/>
    </xf>
    <xf numFmtId="2" fontId="0" fillId="5" borderId="0" xfId="0" applyNumberFormat="1" applyFill="1" applyAlignment="1">
      <alignment vertical="center"/>
    </xf>
    <xf numFmtId="0" fontId="0" fillId="5" borderId="2" xfId="0" applyFill="1" applyBorder="1"/>
    <xf numFmtId="44" fontId="0" fillId="5" borderId="7" xfId="0" applyNumberFormat="1" applyFill="1" applyBorder="1" applyAlignment="1">
      <alignment horizontal="center" vertical="center"/>
    </xf>
    <xf numFmtId="164" fontId="0" fillId="5" borderId="0" xfId="0" applyNumberFormat="1" applyFill="1"/>
    <xf numFmtId="2" fontId="0" fillId="5" borderId="7" xfId="0" applyNumberFormat="1" applyFill="1" applyBorder="1"/>
    <xf numFmtId="0" fontId="0" fillId="5" borderId="3" xfId="0" applyFill="1" applyBorder="1"/>
    <xf numFmtId="2" fontId="0" fillId="5" borderId="8" xfId="0" applyNumberFormat="1" applyFill="1" applyBorder="1"/>
    <xf numFmtId="2" fontId="0" fillId="5" borderId="0" xfId="0" applyNumberFormat="1" applyFill="1"/>
    <xf numFmtId="164" fontId="2" fillId="5" borderId="0" xfId="0" applyNumberFormat="1" applyFont="1" applyFill="1"/>
    <xf numFmtId="2" fontId="2" fillId="5" borderId="0" xfId="0" applyNumberFormat="1" applyFont="1" applyFill="1"/>
    <xf numFmtId="165" fontId="0" fillId="5" borderId="2" xfId="0" applyNumberFormat="1" applyFill="1" applyBorder="1"/>
    <xf numFmtId="2" fontId="0" fillId="5" borderId="2" xfId="0" applyNumberFormat="1" applyFill="1" applyBorder="1"/>
    <xf numFmtId="164" fontId="0" fillId="5" borderId="7" xfId="0" applyNumberFormat="1" applyFill="1" applyBorder="1"/>
    <xf numFmtId="164" fontId="0" fillId="5" borderId="7" xfId="1" applyNumberFormat="1" applyFont="1" applyFill="1" applyBorder="1"/>
    <xf numFmtId="165" fontId="0" fillId="5" borderId="3" xfId="0" applyNumberFormat="1" applyFill="1" applyBorder="1"/>
    <xf numFmtId="2" fontId="0" fillId="5" borderId="3" xfId="0" applyNumberFormat="1" applyFill="1" applyBorder="1"/>
    <xf numFmtId="164" fontId="0" fillId="5" borderId="8" xfId="1" applyNumberFormat="1" applyFont="1" applyFill="1" applyBorder="1"/>
    <xf numFmtId="0" fontId="0" fillId="5" borderId="7" xfId="0" applyFill="1" applyBorder="1"/>
    <xf numFmtId="0" fontId="13" fillId="6" borderId="19" xfId="0" applyFont="1" applyFill="1" applyBorder="1"/>
    <xf numFmtId="0" fontId="0" fillId="0" borderId="20" xfId="0" applyBorder="1"/>
    <xf numFmtId="0" fontId="0" fillId="0" borderId="21" xfId="0" applyBorder="1"/>
    <xf numFmtId="0" fontId="14" fillId="6" borderId="19" xfId="0" applyFont="1" applyFill="1" applyBorder="1"/>
    <xf numFmtId="0" fontId="13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</cellXfs>
  <cellStyles count="3">
    <cellStyle name="Normal" xfId="0" builtinId="0"/>
    <cellStyle name="Normal 4" xfId="2" xr:uid="{18856479-EC66-458B-ABC6-BEC9E556FF65}"/>
    <cellStyle name="Percent" xfId="1" builtinId="5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2" formatCode="mmm\-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Y-o-Y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'Objective - 2'!$A$3:$A$8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- 2'!$D$3:$D$8</c:f>
              <c:numCache>
                <c:formatCode>0.00</c:formatCode>
                <c:ptCount val="6"/>
                <c:pt idx="0">
                  <c:v>4.2780748663101562</c:v>
                </c:pt>
                <c:pt idx="1">
                  <c:v>2.8571428571428612</c:v>
                </c:pt>
                <c:pt idx="2">
                  <c:v>5.8404558404558315</c:v>
                </c:pt>
                <c:pt idx="3">
                  <c:v>5.5181695827725559</c:v>
                </c:pt>
                <c:pt idx="4">
                  <c:v>6.9515306122448823</c:v>
                </c:pt>
                <c:pt idx="5">
                  <c:v>5.6648777579010146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F-45F2-BE1A-EC00514B20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9347695"/>
        <c:axId val="1639349615"/>
      </c:lineChart>
      <c:catAx>
        <c:axId val="16393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49615"/>
        <c:crosses val="autoZero"/>
        <c:auto val="1"/>
        <c:lblAlgn val="ctr"/>
        <c:lblOffset val="100"/>
        <c:noMultiLvlLbl val="0"/>
      </c:catAx>
      <c:valAx>
        <c:axId val="16393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Rural + Urban : Inflation Rate Pre &amp; Post Covid</a:t>
            </a:r>
          </a:p>
        </c:rich>
      </c:tx>
      <c:layout>
        <c:manualLayout>
          <c:xMode val="edge"/>
          <c:yMode val="edge"/>
          <c:x val="0.29684506827950852"/>
          <c:y val="9.1220217630372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- 4'!$L$1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- 4'!$L$2:$L$7</c:f>
              <c:numCache>
                <c:formatCode>0.00</c:formatCode>
                <c:ptCount val="6"/>
                <c:pt idx="0">
                  <c:v>3.8980509745127354</c:v>
                </c:pt>
                <c:pt idx="1">
                  <c:v>-0.93795093795092566</c:v>
                </c:pt>
                <c:pt idx="2">
                  <c:v>7.9388201019664786</c:v>
                </c:pt>
                <c:pt idx="3">
                  <c:v>4.2510121457489962</c:v>
                </c:pt>
                <c:pt idx="4">
                  <c:v>7.8317152103559824</c:v>
                </c:pt>
                <c:pt idx="5">
                  <c:v>4.9219687875150164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7-4598-A9CD-57601DBC8998}"/>
            </c:ext>
          </c:extLst>
        </c:ser>
        <c:ser>
          <c:idx val="1"/>
          <c:order val="1"/>
          <c:tx>
            <c:strRef>
              <c:f>'Objective - 4'!$M$1</c:f>
              <c:strCache>
                <c:ptCount val="1"/>
                <c:pt idx="0">
                  <c:v>Household Goods &amp; Services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- 4'!$M$2:$M$7</c:f>
              <c:numCache>
                <c:formatCode>0.00</c:formatCode>
                <c:ptCount val="6"/>
                <c:pt idx="0">
                  <c:v>4.3251304996271527</c:v>
                </c:pt>
                <c:pt idx="1">
                  <c:v>7.2194424588992101</c:v>
                </c:pt>
                <c:pt idx="2">
                  <c:v>1</c:v>
                </c:pt>
                <c:pt idx="3">
                  <c:v>2.1782178217821855</c:v>
                </c:pt>
                <c:pt idx="4">
                  <c:v>7.5581395348837139</c:v>
                </c:pt>
                <c:pt idx="5">
                  <c:v>7.2672672672672629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7-4598-A9CD-57601DBC8998}"/>
            </c:ext>
          </c:extLst>
        </c:ser>
        <c:ser>
          <c:idx val="2"/>
          <c:order val="2"/>
          <c:tx>
            <c:strRef>
              <c:f>'Objective - 4'!$N$1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- 4'!$N$2:$N$7</c:f>
              <c:numCache>
                <c:formatCode>0.00</c:formatCode>
                <c:ptCount val="6"/>
                <c:pt idx="0">
                  <c:v>4.6707503828483876</c:v>
                </c:pt>
                <c:pt idx="1">
                  <c:v>10.021945866861754</c:v>
                </c:pt>
                <c:pt idx="2">
                  <c:v>4.188829787234031</c:v>
                </c:pt>
                <c:pt idx="3">
                  <c:v>5.0414805360561621</c:v>
                </c:pt>
                <c:pt idx="4">
                  <c:v>6.9258809234507934</c:v>
                </c:pt>
                <c:pt idx="5">
                  <c:v>6.0227272727272689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7-4598-A9CD-57601DBC89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2218943"/>
        <c:axId val="662219423"/>
      </c:barChart>
      <c:catAx>
        <c:axId val="6622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19423"/>
        <c:crosses val="autoZero"/>
        <c:auto val="1"/>
        <c:lblAlgn val="ctr"/>
        <c:lblOffset val="100"/>
        <c:noMultiLvlLbl val="0"/>
      </c:catAx>
      <c:valAx>
        <c:axId val="6622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600"/>
              <a:t>% of Contribution</a:t>
            </a:r>
          </a:p>
        </c:rich>
      </c:tx>
      <c:layout>
        <c:manualLayout>
          <c:xMode val="edge"/>
          <c:yMode val="edge"/>
          <c:x val="0.33236467152132293"/>
          <c:y val="6.61703887510339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45114755392413"/>
          <c:y val="9.4003166067875052E-2"/>
          <c:w val="0.50302261559410333"/>
          <c:h val="0.664039780387253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53-4DF1-B058-43DD5E87D3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53-4DF1-B058-43DD5E87D3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53-4DF1-B058-43DD5E87D3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53-4DF1-B058-43DD5E87D3F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53-4DF1-B058-43DD5E87D3F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753-4DF1-B058-43DD5E87D3F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753-4DF1-B058-43DD5E87D3F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753-4DF1-B058-43DD5E87D3F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753-4DF1-B058-43DD5E87D3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- 1'!$A$2:$A$10</c:f>
              <c:strCache>
                <c:ptCount val="9"/>
                <c:pt idx="0">
                  <c:v>Food Products</c:v>
                </c:pt>
                <c:pt idx="1">
                  <c:v>Energy</c:v>
                </c:pt>
                <c:pt idx="2">
                  <c:v>Transportation</c:v>
                </c:pt>
                <c:pt idx="3">
                  <c:v>Apparel</c:v>
                </c:pt>
                <c:pt idx="4">
                  <c:v>Housing</c:v>
                </c:pt>
                <c:pt idx="5">
                  <c:v>Health</c:v>
                </c:pt>
                <c:pt idx="6">
                  <c:v>Tobacco &amp; Intoxicants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'Objective - 1'!$E$2:$E$10</c:f>
              <c:numCache>
                <c:formatCode>0</c:formatCode>
                <c:ptCount val="9"/>
                <c:pt idx="0">
                  <c:v>49.563853557923672</c:v>
                </c:pt>
                <c:pt idx="1">
                  <c:v>3.9274664833276032</c:v>
                </c:pt>
                <c:pt idx="2">
                  <c:v>3.5407356479889991</c:v>
                </c:pt>
                <c:pt idx="3">
                  <c:v>11.885527672739771</c:v>
                </c:pt>
                <c:pt idx="4">
                  <c:v>7.5369542798212423</c:v>
                </c:pt>
                <c:pt idx="5">
                  <c:v>7.9688037126160172</c:v>
                </c:pt>
                <c:pt idx="6">
                  <c:v>4.3184943279477475</c:v>
                </c:pt>
                <c:pt idx="7">
                  <c:v>3.8050017188037111</c:v>
                </c:pt>
                <c:pt idx="8">
                  <c:v>7.4531625988312102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753-4DF1-B058-43DD5E87D3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99035553547E-2"/>
          <c:y val="0.8324105348108316"/>
          <c:w val="0.89999992284428376"/>
          <c:h val="0.15223858887976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 of Contribution</a:t>
            </a:r>
          </a:p>
        </c:rich>
      </c:tx>
      <c:layout>
        <c:manualLayout>
          <c:xMode val="edge"/>
          <c:yMode val="edge"/>
          <c:x val="0.390008739813757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497998870054536"/>
          <c:y val="9.4003166067875052E-2"/>
          <c:w val="0.31004011904355461"/>
          <c:h val="0.647616605216155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D2-4743-B54F-51FA9833AD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D2-4743-B54F-51FA9833AD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D2-4743-B54F-51FA9833AD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D2-4743-B54F-51FA9833AD7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0D2-4743-B54F-51FA9833AD7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0D2-4743-B54F-51FA9833AD7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0D2-4743-B54F-51FA9833AD7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0D2-4743-B54F-51FA9833AD7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0D2-4743-B54F-51FA9833AD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- 1'!$A$2:$A$10</c:f>
              <c:strCache>
                <c:ptCount val="9"/>
                <c:pt idx="0">
                  <c:v>Food Products</c:v>
                </c:pt>
                <c:pt idx="1">
                  <c:v>Energy</c:v>
                </c:pt>
                <c:pt idx="2">
                  <c:v>Transportation</c:v>
                </c:pt>
                <c:pt idx="3">
                  <c:v>Apparel</c:v>
                </c:pt>
                <c:pt idx="4">
                  <c:v>Housing</c:v>
                </c:pt>
                <c:pt idx="5">
                  <c:v>Health</c:v>
                </c:pt>
                <c:pt idx="6">
                  <c:v>Tobacco &amp; Intoxicants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'Objective - 1'!$E$2:$E$10</c:f>
              <c:numCache>
                <c:formatCode>0</c:formatCode>
                <c:ptCount val="9"/>
                <c:pt idx="0">
                  <c:v>49.563853557923672</c:v>
                </c:pt>
                <c:pt idx="1">
                  <c:v>3.9274664833276032</c:v>
                </c:pt>
                <c:pt idx="2">
                  <c:v>3.5407356479889991</c:v>
                </c:pt>
                <c:pt idx="3">
                  <c:v>11.885527672739771</c:v>
                </c:pt>
                <c:pt idx="4">
                  <c:v>7.5369542798212423</c:v>
                </c:pt>
                <c:pt idx="5">
                  <c:v>7.9688037126160172</c:v>
                </c:pt>
                <c:pt idx="6">
                  <c:v>4.3184943279477475</c:v>
                </c:pt>
                <c:pt idx="7">
                  <c:v>3.8050017188037111</c:v>
                </c:pt>
                <c:pt idx="8">
                  <c:v>7.4531625988312102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1-4C36-AC81-31E2259A65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99035553547E-2"/>
          <c:y val="0.8324105348108316"/>
          <c:w val="0.89999992284428376"/>
          <c:h val="0.15223858887976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Year-on-Year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'Objective - 2'!$A$3:$A$8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- 2'!$D$3:$D$8</c:f>
              <c:numCache>
                <c:formatCode>0.00</c:formatCode>
                <c:ptCount val="6"/>
                <c:pt idx="0">
                  <c:v>4.2780748663101562</c:v>
                </c:pt>
                <c:pt idx="1">
                  <c:v>2.8571428571428612</c:v>
                </c:pt>
                <c:pt idx="2">
                  <c:v>5.8404558404558315</c:v>
                </c:pt>
                <c:pt idx="3">
                  <c:v>5.5181695827725559</c:v>
                </c:pt>
                <c:pt idx="4">
                  <c:v>6.9515306122448823</c:v>
                </c:pt>
                <c:pt idx="5">
                  <c:v>5.6648777579010146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6-4F20-BC7C-FA36B9DDBF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9347695"/>
        <c:axId val="1639349615"/>
      </c:lineChart>
      <c:catAx>
        <c:axId val="16393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49615"/>
        <c:crosses val="autoZero"/>
        <c:auto val="1"/>
        <c:lblAlgn val="ctr"/>
        <c:lblOffset val="100"/>
        <c:noMultiLvlLbl val="0"/>
      </c:catAx>
      <c:valAx>
        <c:axId val="16393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 + Urban : Inflation Pre &amp; Post Covid</a:t>
            </a:r>
          </a:p>
        </c:rich>
      </c:tx>
      <c:layout>
        <c:manualLayout>
          <c:xMode val="edge"/>
          <c:yMode val="edge"/>
          <c:x val="0.26721545023218252"/>
          <c:y val="9.12200574949727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- 4'!$L$1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- 4'!$L$2:$L$7</c:f>
              <c:numCache>
                <c:formatCode>0.00</c:formatCode>
                <c:ptCount val="6"/>
                <c:pt idx="0">
                  <c:v>3.8980509745127354</c:v>
                </c:pt>
                <c:pt idx="1">
                  <c:v>-0.93795093795092566</c:v>
                </c:pt>
                <c:pt idx="2">
                  <c:v>7.9388201019664786</c:v>
                </c:pt>
                <c:pt idx="3">
                  <c:v>4.2510121457489962</c:v>
                </c:pt>
                <c:pt idx="4">
                  <c:v>7.8317152103559824</c:v>
                </c:pt>
                <c:pt idx="5">
                  <c:v>4.9219687875150164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215-8DAE-69505E67D51D}"/>
            </c:ext>
          </c:extLst>
        </c:ser>
        <c:ser>
          <c:idx val="1"/>
          <c:order val="1"/>
          <c:tx>
            <c:strRef>
              <c:f>'Objective - 4'!$M$1</c:f>
              <c:strCache>
                <c:ptCount val="1"/>
                <c:pt idx="0">
                  <c:v>Household Goods &amp; Services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- 4'!$M$2:$M$7</c:f>
              <c:numCache>
                <c:formatCode>0.00</c:formatCode>
                <c:ptCount val="6"/>
                <c:pt idx="0">
                  <c:v>4.3251304996271527</c:v>
                </c:pt>
                <c:pt idx="1">
                  <c:v>7.2194424588992101</c:v>
                </c:pt>
                <c:pt idx="2">
                  <c:v>1</c:v>
                </c:pt>
                <c:pt idx="3">
                  <c:v>2.1782178217821855</c:v>
                </c:pt>
                <c:pt idx="4">
                  <c:v>7.5581395348837139</c:v>
                </c:pt>
                <c:pt idx="5">
                  <c:v>7.2672672672672629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8-4215-8DAE-69505E67D51D}"/>
            </c:ext>
          </c:extLst>
        </c:ser>
        <c:ser>
          <c:idx val="2"/>
          <c:order val="2"/>
          <c:tx>
            <c:strRef>
              <c:f>'Objective - 4'!$N$1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- 4'!$K$2:$K$7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'Objective - 4'!$N$2:$N$7</c:f>
              <c:numCache>
                <c:formatCode>0.00</c:formatCode>
                <c:ptCount val="6"/>
                <c:pt idx="0">
                  <c:v>4.6707503828483876</c:v>
                </c:pt>
                <c:pt idx="1">
                  <c:v>10.021945866861754</c:v>
                </c:pt>
                <c:pt idx="2">
                  <c:v>4.188829787234031</c:v>
                </c:pt>
                <c:pt idx="3">
                  <c:v>5.0414805360561621</c:v>
                </c:pt>
                <c:pt idx="4">
                  <c:v>6.9258809234507934</c:v>
                </c:pt>
                <c:pt idx="5">
                  <c:v>6.0227272727272689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8-4215-8DAE-69505E67D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2218943"/>
        <c:axId val="662219423"/>
      </c:barChart>
      <c:catAx>
        <c:axId val="6622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19423"/>
        <c:crosses val="autoZero"/>
        <c:auto val="1"/>
        <c:lblAlgn val="ctr"/>
        <c:lblOffset val="100"/>
        <c:noMultiLvlLbl val="0"/>
      </c:catAx>
      <c:valAx>
        <c:axId val="6622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Food : MoM Chnages ending May'23 (Rural + Urban)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/>
          </a:pPr>
          <a:r>
            <a:rPr lang="en-US" sz="2400" b="1" i="0" u="none" strike="noStrike" baseline="0">
              <a:solidFill>
                <a:srgbClr val="44546A"/>
              </a:solidFill>
              <a:latin typeface="Calibri" panose="020F0502020204030204"/>
            </a:rPr>
            <a:t>Food : MoM Chnages ending May'23 (Rural + Urban)</a:t>
          </a:r>
        </a:p>
      </cx:txPr>
    </cx:title>
    <cx:plotArea>
      <cx:plotAreaRegion>
        <cx:series layoutId="waterfall" uniqueId="{E0A8785C-9135-473B-939F-BEF8493D37C5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/>
                </a:pPr>
                <a:endParaRPr lang="en-US" sz="1600" b="1" i="0" u="none" strike="noStrike" baseline="0">
                  <a:solidFill>
                    <a:srgbClr val="44546A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0"/>
            </a:pPr>
            <a:endParaRPr lang="en-US" sz="1200" b="0" i="0" u="none" strike="noStrike" baseline="0">
              <a:solidFill>
                <a:srgbClr val="44546A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t" align="ctr" overlay="0"/>
  </cx:chart>
  <cx:spPr>
    <a:ln w="12700"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Food : MoM Chnages ending May'23 (Rural + Urban)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rgbClr val="44546A"/>
              </a:solidFill>
              <a:latin typeface="Calibri" panose="020F0502020204030204"/>
            </a:rPr>
            <a:t>Food : MoM Chnages ending May'23 (Rural + Urban)</a:t>
          </a:r>
        </a:p>
      </cx:txPr>
    </cx:title>
    <cx:plotArea>
      <cx:plotAreaRegion>
        <cx:series layoutId="waterfall" uniqueId="{E0A8785C-9135-473B-939F-BEF8493D37C5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rgbClr val="44546A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119062</xdr:colOff>
      <xdr:row>7</xdr:row>
      <xdr:rowOff>59530</xdr:rowOff>
    </xdr:from>
    <xdr:to>
      <xdr:col>26</xdr:col>
      <xdr:colOff>1905000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A25774-82F5-4231-A27E-FE7ADD97F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535782</xdr:colOff>
      <xdr:row>36</xdr:row>
      <xdr:rowOff>95250</xdr:rowOff>
    </xdr:from>
    <xdr:to>
      <xdr:col>26</xdr:col>
      <xdr:colOff>2024063</xdr:colOff>
      <xdr:row>59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50B3D3C-074D-46AA-B14E-9A0BB5F94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9132" y="9467850"/>
              <a:ext cx="14366081" cy="5738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95250</xdr:colOff>
      <xdr:row>36</xdr:row>
      <xdr:rowOff>107155</xdr:rowOff>
    </xdr:from>
    <xdr:to>
      <xdr:col>16</xdr:col>
      <xdr:colOff>476250</xdr:colOff>
      <xdr:row>60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64FAED-D99E-4978-A9D4-17C715300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604838</xdr:colOff>
      <xdr:row>44</xdr:row>
      <xdr:rowOff>119063</xdr:rowOff>
    </xdr:from>
    <xdr:to>
      <xdr:col>9</xdr:col>
      <xdr:colOff>604838</xdr:colOff>
      <xdr:row>56</xdr:row>
      <xdr:rowOff>100013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AF87B56-5979-4474-860A-B72EA7BE1B75}"/>
            </a:ext>
          </a:extLst>
        </xdr:cNvPr>
        <xdr:cNvCxnSpPr/>
      </xdr:nvCxnSpPr>
      <xdr:spPr>
        <a:xfrm>
          <a:off x="6091238" y="12463463"/>
          <a:ext cx="0" cy="2266950"/>
        </a:xfrm>
        <a:prstGeom prst="line">
          <a:avLst/>
        </a:prstGeom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127000</xdr:colOff>
      <xdr:row>0</xdr:row>
      <xdr:rowOff>142875</xdr:rowOff>
    </xdr:from>
    <xdr:to>
      <xdr:col>29</xdr:col>
      <xdr:colOff>31750</xdr:colOff>
      <xdr:row>6</xdr:row>
      <xdr:rowOff>166687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845B638-3FE9-191C-A3CF-FD738778E853}"/>
            </a:ext>
          </a:extLst>
        </xdr:cNvPr>
        <xdr:cNvSpPr/>
      </xdr:nvSpPr>
      <xdr:spPr>
        <a:xfrm>
          <a:off x="127000" y="142875"/>
          <a:ext cx="24638000" cy="1166812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0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CPI</a:t>
          </a:r>
          <a:r>
            <a:rPr lang="en-IN" sz="60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INFLATION DASHBOARD</a:t>
          </a:r>
        </a:p>
      </xdr:txBody>
    </xdr:sp>
    <xdr:clientData/>
  </xdr:twoCellAnchor>
  <xdr:twoCellAnchor>
    <xdr:from>
      <xdr:col>0</xdr:col>
      <xdr:colOff>130969</xdr:colOff>
      <xdr:row>30</xdr:row>
      <xdr:rowOff>95251</xdr:rowOff>
    </xdr:from>
    <xdr:to>
      <xdr:col>14</xdr:col>
      <xdr:colOff>19050</xdr:colOff>
      <xdr:row>34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33CCD79-ADBB-6C10-1CCC-600ADD5E80CB}"/>
            </a:ext>
          </a:extLst>
        </xdr:cNvPr>
        <xdr:cNvSpPr/>
      </xdr:nvSpPr>
      <xdr:spPr>
        <a:xfrm>
          <a:off x="130969" y="9163051"/>
          <a:ext cx="10232231" cy="1200149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Key Insights : - </a:t>
          </a:r>
        </a:p>
        <a:p>
          <a:pPr algn="l"/>
          <a:r>
            <a:rPr lang="en-IN" sz="2800" b="1">
              <a:solidFill>
                <a:schemeClr val="tx1"/>
              </a:solidFill>
            </a:rPr>
            <a:t>Food Products </a:t>
          </a:r>
          <a:r>
            <a:rPr lang="en-IN" sz="2800" b="0">
              <a:solidFill>
                <a:schemeClr val="tx1"/>
              </a:solidFill>
            </a:rPr>
            <a:t>has highest Contribution towards CPI. </a:t>
          </a:r>
        </a:p>
      </xdr:txBody>
    </xdr:sp>
    <xdr:clientData/>
  </xdr:twoCellAnchor>
  <xdr:twoCellAnchor>
    <xdr:from>
      <xdr:col>14</xdr:col>
      <xdr:colOff>130969</xdr:colOff>
      <xdr:row>30</xdr:row>
      <xdr:rowOff>95249</xdr:rowOff>
    </xdr:from>
    <xdr:to>
      <xdr:col>26</xdr:col>
      <xdr:colOff>1928812</xdr:colOff>
      <xdr:row>36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51509B-3DA0-4CCE-9207-8D1F8677D01B}"/>
            </a:ext>
          </a:extLst>
        </xdr:cNvPr>
        <xdr:cNvSpPr/>
      </xdr:nvSpPr>
      <xdr:spPr>
        <a:xfrm>
          <a:off x="8481219" y="5762624"/>
          <a:ext cx="11703843" cy="1047751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:-</a:t>
          </a:r>
          <a:endParaRPr lang="en-IN" sz="3200" b="1">
            <a:solidFill>
              <a:schemeClr val="tx1"/>
            </a:solidFill>
          </a:endParaRPr>
        </a:p>
        <a:p>
          <a:pPr algn="l"/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highest year-on-year growth rate was observed in </a:t>
          </a:r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2022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</a:t>
          </a:r>
          <a:r>
            <a:rPr lang="en-IN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6.95%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3200"/>
            <a:t> </a:t>
          </a:r>
        </a:p>
        <a:p>
          <a:pPr algn="l"/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growth rate seems to have peaked in 2022 and then declined slightly in 2023.</a:t>
          </a:r>
          <a:r>
            <a:rPr lang="en-IN" sz="3200"/>
            <a:t> </a:t>
          </a:r>
          <a:r>
            <a:rPr lang="en-IN" sz="32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27</xdr:col>
      <xdr:colOff>-1</xdr:colOff>
      <xdr:row>7</xdr:row>
      <xdr:rowOff>59532</xdr:rowOff>
    </xdr:from>
    <xdr:to>
      <xdr:col>29</xdr:col>
      <xdr:colOff>-1</xdr:colOff>
      <xdr:row>17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01BAB14-8E24-DD82-D400-5FDF306ECFBD}"/>
            </a:ext>
          </a:extLst>
        </xdr:cNvPr>
        <xdr:cNvSpPr/>
      </xdr:nvSpPr>
      <xdr:spPr>
        <a:xfrm>
          <a:off x="26536649" y="1393032"/>
          <a:ext cx="6686550" cy="1940718"/>
        </a:xfrm>
        <a:prstGeom prst="rect">
          <a:avLst/>
        </a:prstGeom>
        <a:ln w="12700">
          <a:solidFill>
            <a:schemeClr val="accent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of different categories with Crude-oil Price (Urbar+Rural) 2021-23.</a:t>
          </a:r>
          <a:endParaRPr lang="en-IN" sz="3200">
            <a:effectLst/>
          </a:endParaRPr>
        </a:p>
        <a:p>
          <a:pPr algn="ctr"/>
          <a:endParaRPr lang="en-IN" sz="3200"/>
        </a:p>
      </xdr:txBody>
    </xdr:sp>
    <xdr:clientData/>
  </xdr:twoCellAnchor>
  <xdr:twoCellAnchor>
    <xdr:from>
      <xdr:col>27</xdr:col>
      <xdr:colOff>52387</xdr:colOff>
      <xdr:row>45</xdr:row>
      <xdr:rowOff>78583</xdr:rowOff>
    </xdr:from>
    <xdr:to>
      <xdr:col>28</xdr:col>
      <xdr:colOff>2724150</xdr:colOff>
      <xdr:row>68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5EA18D1-3125-4D27-A61A-98FBBF396D68}"/>
            </a:ext>
          </a:extLst>
        </xdr:cNvPr>
        <xdr:cNvSpPr/>
      </xdr:nvSpPr>
      <xdr:spPr>
        <a:xfrm>
          <a:off x="26589037" y="12613483"/>
          <a:ext cx="6615113" cy="4531517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en-US" sz="2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Insights :-</a:t>
          </a:r>
          <a:endParaRPr lang="en-IN" sz="3200">
            <a:effectLst/>
          </a:endParaRPr>
        </a:p>
        <a:p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 and Communication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There is a steady increase in the CPI,</a:t>
          </a:r>
          <a:r>
            <a:rPr lang="en-IN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correlate with rising oil prices (69%).</a:t>
          </a:r>
          <a:endParaRPr lang="en-IN" sz="3200">
            <a:effectLst/>
          </a:endParaRPr>
        </a:p>
        <a:p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Fuel</a:t>
          </a:r>
          <a:r>
            <a:rPr lang="en-IN" sz="2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Light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This sector shows good increase in the CPI</a:t>
          </a:r>
          <a:r>
            <a:rPr lang="en-IN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 correlation of 64% with crude oil price.</a:t>
          </a:r>
          <a:endParaRPr lang="en-IN" sz="3200">
            <a:effectLst/>
          </a:endParaRPr>
        </a:p>
        <a:p>
          <a:pPr eaLnBrk="1" fontAlgn="auto" latinLnBrk="0" hangingPunct="1"/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 food sub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buckets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Meat &amp; Fish, Oil &amp; fats show a sharp correlation with oil prices i.e.</a:t>
          </a:r>
          <a:r>
            <a:rPr lang="en-IN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82% and  90% idividually 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with oil prices i.e.</a:t>
          </a:r>
          <a:r>
            <a:rPr lang="en-IN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82% and  90% individually.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3200">
            <a:effectLst/>
          </a:endParaRPr>
        </a:p>
      </xdr:txBody>
    </xdr:sp>
    <xdr:clientData/>
  </xdr:twoCellAnchor>
  <xdr:twoCellAnchor>
    <xdr:from>
      <xdr:col>0</xdr:col>
      <xdr:colOff>95248</xdr:colOff>
      <xdr:row>60</xdr:row>
      <xdr:rowOff>71444</xdr:rowOff>
    </xdr:from>
    <xdr:to>
      <xdr:col>16</xdr:col>
      <xdr:colOff>476250</xdr:colOff>
      <xdr:row>68</xdr:row>
      <xdr:rowOff>127000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5C8FEFD-3F65-458B-AE29-32FFE47B8EBC}"/>
            </a:ext>
          </a:extLst>
        </xdr:cNvPr>
        <xdr:cNvSpPr/>
      </xdr:nvSpPr>
      <xdr:spPr>
        <a:xfrm>
          <a:off x="95248" y="13708069"/>
          <a:ext cx="9937752" cy="1674806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:-</a:t>
          </a:r>
        </a:p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</a:t>
          </a:r>
          <a:r>
            <a:rPr lang="en-US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categories saw sharp inflation after the pandemic's onset.</a:t>
          </a:r>
          <a:endParaRPr lang="en-IN" sz="4800">
            <a:effectLst/>
          </a:endParaRPr>
        </a:p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Healthcare</a:t>
          </a:r>
          <a:r>
            <a:rPr lang="en-US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remained consistently high, with notable increases in 2019, 2021, and 2022.</a:t>
          </a:r>
          <a:endParaRPr lang="en-IN" sz="4800">
            <a:effectLst/>
          </a:endParaRPr>
        </a:p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Household 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also experienced a consistent rise in the CPI during</a:t>
          </a:r>
          <a:r>
            <a:rPr lang="en-IN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pendamic.</a:t>
          </a:r>
          <a:endParaRPr lang="en-IN" sz="4800">
            <a:effectLst/>
          </a:endParaRPr>
        </a:p>
      </xdr:txBody>
    </xdr:sp>
    <xdr:clientData/>
  </xdr:twoCellAnchor>
  <xdr:twoCellAnchor>
    <xdr:from>
      <xdr:col>16</xdr:col>
      <xdr:colOff>563562</xdr:colOff>
      <xdr:row>60</xdr:row>
      <xdr:rowOff>47626</xdr:rowOff>
    </xdr:from>
    <xdr:to>
      <xdr:col>26</xdr:col>
      <xdr:colOff>2039937</xdr:colOff>
      <xdr:row>68</xdr:row>
      <xdr:rowOff>111126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7C5958A-12FF-4BDB-AEE2-7F03DC79A85F}"/>
            </a:ext>
          </a:extLst>
        </xdr:cNvPr>
        <xdr:cNvSpPr/>
      </xdr:nvSpPr>
      <xdr:spPr>
        <a:xfrm>
          <a:off x="12255500" y="15216189"/>
          <a:ext cx="14382750" cy="168275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9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:-</a:t>
          </a:r>
        </a:p>
        <a:p>
          <a:pPr algn="l"/>
          <a:r>
            <a:rPr lang="en-IN" sz="19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</a:t>
          </a:r>
          <a:r>
            <a:rPr lang="en-IN" sz="19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show the most volatility in terms of month-on-month growth rates, indicating a significant contribution to fluctuations in food inflation.</a:t>
          </a:r>
          <a:r>
            <a:rPr lang="en-IN" sz="1950"/>
            <a:t> </a:t>
          </a:r>
        </a:p>
        <a:p>
          <a:pPr algn="l"/>
          <a:r>
            <a:rPr lang="en-IN" sz="19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Fruits</a:t>
          </a:r>
          <a:r>
            <a:rPr lang="en-IN" sz="19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also contribute to inflation variability, but with less severity than vegetables.</a:t>
          </a:r>
          <a:r>
            <a:rPr lang="en-IN" sz="1950"/>
            <a:t> </a:t>
          </a:r>
        </a:p>
        <a:p>
          <a:pPr algn="l"/>
          <a:r>
            <a:rPr lang="en-IN" sz="19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Pulses</a:t>
          </a:r>
          <a:r>
            <a:rPr lang="en-IN" sz="19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relatively more stable, suggesting a smaller contribution to the overall volatility in food inflation.</a:t>
          </a:r>
          <a:r>
            <a:rPr lang="en-IN" sz="1950"/>
            <a:t> </a:t>
          </a:r>
          <a:endParaRPr lang="en-IN" sz="195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190500</xdr:colOff>
      <xdr:row>7</xdr:row>
      <xdr:rowOff>57150</xdr:rowOff>
    </xdr:from>
    <xdr:to>
      <xdr:col>13</xdr:col>
      <xdr:colOff>1409700</xdr:colOff>
      <xdr:row>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0EFB08-FE1E-4A11-A5EF-63EAA419E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0.45714</cdr:x>
      <cdr:y>0.34692</cdr:y>
    </cdr:from>
    <cdr:to>
      <cdr:x>0.62525</cdr:x>
      <cdr:y>0.42443</cdr:y>
    </cdr:to>
    <cdr:sp macro="" textlink="">
      <cdr:nvSpPr>
        <cdr:cNvPr id="3" name="Speech Bubble: Rectangle with Corners Rounded 2">
          <a:extLst xmlns:a="http://schemas.openxmlformats.org/drawingml/2006/main">
            <a:ext uri="{FF2B5EF4-FFF2-40B4-BE49-F238E27FC236}">
              <a16:creationId xmlns:a16="http://schemas.microsoft.com/office/drawing/2014/main" id="{2811AC62-3C96-484A-8FAF-09B1057B4218}"/>
            </a:ext>
          </a:extLst>
        </cdr:cNvPr>
        <cdr:cNvSpPr/>
      </cdr:nvSpPr>
      <cdr:spPr>
        <a:xfrm xmlns:a="http://schemas.openxmlformats.org/drawingml/2006/main">
          <a:off x="5519058" y="1995055"/>
          <a:ext cx="2029505" cy="445727"/>
        </a:xfrm>
        <a:prstGeom xmlns:a="http://schemas.openxmlformats.org/drawingml/2006/main" prst="wedgeRoundRectCallout">
          <a:avLst>
            <a:gd name="adj1" fmla="val -23370"/>
            <a:gd name="adj2" fmla="val 105903"/>
            <a:gd name="adj3" fmla="val 16667"/>
          </a:avLst>
        </a:prstGeom>
      </cdr:spPr>
      <cdr:style>
        <a:lnRef xmlns:a="http://schemas.openxmlformats.org/drawingml/2006/main" idx="1">
          <a:schemeClr val="accent4"/>
        </a:lnRef>
        <a:fillRef xmlns:a="http://schemas.openxmlformats.org/drawingml/2006/main" idx="2">
          <a:schemeClr val="accent4"/>
        </a:fillRef>
        <a:effectRef xmlns:a="http://schemas.openxmlformats.org/drawingml/2006/main" idx="1">
          <a:schemeClr val="accent4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IN" sz="2000" b="1"/>
            <a:t>Covid [Mar'20]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14</xdr:row>
      <xdr:rowOff>97972</xdr:rowOff>
    </xdr:from>
    <xdr:to>
      <xdr:col>3</xdr:col>
      <xdr:colOff>394607</xdr:colOff>
      <xdr:row>40</xdr:row>
      <xdr:rowOff>108858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18482-7929-F452-10EA-7A34C6631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11</xdr:row>
      <xdr:rowOff>85723</xdr:rowOff>
    </xdr:from>
    <xdr:to>
      <xdr:col>10</xdr:col>
      <xdr:colOff>9525</xdr:colOff>
      <xdr:row>28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32E8A-0BEC-46FA-B932-86F19D334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15</xdr:row>
      <xdr:rowOff>147636</xdr:rowOff>
    </xdr:from>
    <xdr:to>
      <xdr:col>7</xdr:col>
      <xdr:colOff>428625</xdr:colOff>
      <xdr:row>35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37E1F4-0E3D-4AAF-A242-AFF5E37987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3" y="3109911"/>
              <a:ext cx="7391402" cy="3814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138111</xdr:rowOff>
    </xdr:from>
    <xdr:to>
      <xdr:col>11</xdr:col>
      <xdr:colOff>1066800</xdr:colOff>
      <xdr:row>32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F8E8D-C6C2-456C-AACA-F8C6892E0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17</xdr:row>
      <xdr:rowOff>123825</xdr:rowOff>
    </xdr:from>
    <xdr:to>
      <xdr:col>5</xdr:col>
      <xdr:colOff>114300</xdr:colOff>
      <xdr:row>29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D8366E4-07EF-4463-8294-5F0B761919AD}"/>
            </a:ext>
          </a:extLst>
        </xdr:cNvPr>
        <xdr:cNvCxnSpPr/>
      </xdr:nvCxnSpPr>
      <xdr:spPr>
        <a:xfrm>
          <a:off x="5105400" y="3390900"/>
          <a:ext cx="0" cy="2266950"/>
        </a:xfrm>
        <a:prstGeom prst="line">
          <a:avLst/>
        </a:prstGeom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428626</xdr:colOff>
      <xdr:row>14</xdr:row>
      <xdr:rowOff>171450</xdr:rowOff>
    </xdr:from>
    <xdr:to>
      <xdr:col>6</xdr:col>
      <xdr:colOff>333376</xdr:colOff>
      <xdr:row>16</xdr:row>
      <xdr:rowOff>133350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2811AC62-3C96-484A-8FAF-09B1057B4218}"/>
            </a:ext>
          </a:extLst>
        </xdr:cNvPr>
        <xdr:cNvSpPr/>
      </xdr:nvSpPr>
      <xdr:spPr>
        <a:xfrm>
          <a:off x="4743451" y="2867025"/>
          <a:ext cx="1352550" cy="342900"/>
        </a:xfrm>
        <a:prstGeom prst="wedgeRoundRectCallout">
          <a:avLst>
            <a:gd name="adj1" fmla="val -23370"/>
            <a:gd name="adj2" fmla="val 105903"/>
            <a:gd name="adj3" fmla="val 1666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Covid [Mar'20]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406AA7-D098-4A6E-B2E6-144898BE63DE}" name="Table8" displayName="Table8" ref="AB19:AC45" totalsRowShown="0" headerRowDxfId="14" dataDxfId="12" headerRowBorderDxfId="13" tableBorderDxfId="11">
  <autoFilter ref="AB19:AC45" xr:uid="{3E406AA7-D098-4A6E-B2E6-144898BE63DE}"/>
  <tableColumns count="2">
    <tableColumn id="1" xr3:uid="{1D3871FA-9186-4670-9E29-9E31B31B14AD}" name="Categories" dataDxfId="10"/>
    <tableColumn id="2" xr3:uid="{76925F0D-BC5C-477A-A9AA-3C4EBD685269}" name="Correlation with Crude Oil" dataDxfId="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63A08-7FE4-491F-841A-C748FBB497BB}" name="Table12" displayName="Table12" ref="C3:D37" totalsRowShown="0">
  <autoFilter ref="C3:D37" xr:uid="{95E2B505-028E-40E2-B897-CA7BE677892C}"/>
  <tableColumns count="2">
    <tableColumn id="1" xr3:uid="{B1C8E95D-09A6-41F4-A029-0FFD94873C23}" name="Column Name"/>
    <tableColumn id="2" xr3:uid="{29DD80E5-FDC8-4BD3-9738-022C1B7ED342}" name="Descript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75AF1-8DCB-44C8-B6F9-80AF70A5C996}" name="Table13" displayName="Table13" ref="A1:C37" totalsRowShown="0" tableBorderDxfId="8">
  <autoFilter ref="A1:C37" xr:uid="{5CF75AF1-8DCB-44C8-B6F9-80AF70A5C996}"/>
  <tableColumns count="3">
    <tableColumn id="1" xr3:uid="{0BAED945-EDDC-4E54-8765-3AC5163CA055}" name="Year" dataDxfId="7"/>
    <tableColumn id="2" xr3:uid="{56036A90-72FA-462C-9BC9-F8D03797CE64}" name="Month" dataDxfId="6"/>
    <tableColumn id="3" xr3:uid="{9E6ACC87-756A-4E0A-8F7C-C91539384CBC}" name="Crude Oil Pric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A17853-66F2-42E4-B9C8-227B7E420516}" name="Table6" displayName="Table6" ref="F2:I3" totalsRowShown="0">
  <tableColumns count="4">
    <tableColumn id="1" xr3:uid="{122A0001-8C45-43B7-AF7C-1D9C163E7362}" name="Year"/>
    <tableColumn id="2" xr3:uid="{A0D2AA8F-1E89-4280-A490-E35422EC63DD}" name="2021"/>
    <tableColumn id="3" xr3:uid="{EF6641CA-5906-4B1E-A07B-F7ABCDA16C42}" name="2022"/>
    <tableColumn id="4" xr3:uid="{E4C81502-18F8-4C71-9D78-C8B332B8089C}" name="2023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1EE2A0-7E07-4276-AC38-3ADA1FE2BC99}" name="Table7" displayName="Table7" ref="F6:J32" totalsRowShown="0" headerRowDxfId="4">
  <tableColumns count="5">
    <tableColumn id="1" xr3:uid="{60B3DB3B-449D-4981-89DF-38832DC22243}" name="Category"/>
    <tableColumn id="2" xr3:uid="{E3AF7789-C0BB-4392-B49A-37D8A6B57839}" name="2021" dataDxfId="3"/>
    <tableColumn id="3" xr3:uid="{72FBA287-1EC8-4997-BECF-F8A2180C82FD}" name="2022" dataDxfId="2"/>
    <tableColumn id="4" xr3:uid="{4B95106D-F7CF-42E7-A3FC-C549877E289A}" name="2023" dataDxfId="1"/>
    <tableColumn id="5" xr3:uid="{41A47497-1898-4BFF-B97F-085F34595F1C}" name="Averag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F9C3-F5DA-4CD3-A92E-AD5FE671933B}">
  <sheetPr>
    <tabColor rgb="FFFF0000"/>
  </sheetPr>
  <dimension ref="D11:AC76"/>
  <sheetViews>
    <sheetView showGridLines="0" zoomScale="35" zoomScaleNormal="35" workbookViewId="0">
      <selection activeCell="AG23" sqref="AG23"/>
    </sheetView>
  </sheetViews>
  <sheetFormatPr defaultRowHeight="15" x14ac:dyDescent="0.25"/>
  <cols>
    <col min="1" max="12" width="9.140625" style="27"/>
    <col min="13" max="13" width="24" style="27" customWidth="1"/>
    <col min="14" max="14" width="21.42578125" style="27" customWidth="1"/>
    <col min="15" max="18" width="9.140625" style="27"/>
    <col min="19" max="19" width="24" style="27" customWidth="1"/>
    <col min="20" max="20" width="9.140625" style="27"/>
    <col min="21" max="21" width="23.42578125" style="27" customWidth="1"/>
    <col min="22" max="22" width="9.140625" style="27"/>
    <col min="23" max="23" width="21.140625" style="27" customWidth="1"/>
    <col min="24" max="24" width="37.28515625" style="27" bestFit="1" customWidth="1"/>
    <col min="25" max="25" width="27" style="27" bestFit="1" customWidth="1"/>
    <col min="26" max="26" width="23.7109375" style="27" customWidth="1"/>
    <col min="27" max="27" width="31" style="27" bestFit="1" customWidth="1"/>
    <col min="28" max="28" width="59.140625" style="27" bestFit="1" customWidth="1"/>
    <col min="29" max="29" width="41.140625" style="27" bestFit="1" customWidth="1"/>
    <col min="30" max="32" width="9.140625" style="27"/>
    <col min="33" max="33" width="13.7109375" style="27" customWidth="1"/>
    <col min="34" max="34" width="13" style="27" customWidth="1"/>
    <col min="35" max="16384" width="9.140625" style="27"/>
  </cols>
  <sheetData>
    <row r="11" spans="27:28" x14ac:dyDescent="0.25">
      <c r="AA11" s="26"/>
      <c r="AB11" s="26"/>
    </row>
    <row r="12" spans="27:28" ht="11.25" customHeight="1" x14ac:dyDescent="0.25">
      <c r="AB12" s="28"/>
    </row>
    <row r="19" spans="28:29" ht="57" x14ac:dyDescent="0.25">
      <c r="AB19" s="34" t="s">
        <v>49</v>
      </c>
      <c r="AC19" s="33" t="s">
        <v>80</v>
      </c>
    </row>
    <row r="20" spans="28:29" ht="26.25" x14ac:dyDescent="0.4">
      <c r="AB20" s="29" t="s">
        <v>3</v>
      </c>
      <c r="AC20" s="30">
        <v>0.36620627219072222</v>
      </c>
    </row>
    <row r="21" spans="28:29" ht="26.25" x14ac:dyDescent="0.4">
      <c r="AB21" s="29" t="s">
        <v>4</v>
      </c>
      <c r="AC21" s="30">
        <v>0.8243900537108011</v>
      </c>
    </row>
    <row r="22" spans="28:29" ht="26.25" x14ac:dyDescent="0.4">
      <c r="AB22" s="29" t="s">
        <v>5</v>
      </c>
      <c r="AC22" s="30">
        <v>-4.3185092931999737E-3</v>
      </c>
    </row>
    <row r="23" spans="28:29" ht="26.25" x14ac:dyDescent="0.4">
      <c r="AB23" s="29" t="s">
        <v>6</v>
      </c>
      <c r="AC23" s="30">
        <v>0.41938951483288961</v>
      </c>
    </row>
    <row r="24" spans="28:29" ht="26.25" x14ac:dyDescent="0.4">
      <c r="AB24" s="29" t="s">
        <v>7</v>
      </c>
      <c r="AC24" s="30">
        <v>0.90431885054075767</v>
      </c>
    </row>
    <row r="25" spans="28:29" ht="26.25" x14ac:dyDescent="0.4">
      <c r="AB25" s="29" t="s">
        <v>8</v>
      </c>
      <c r="AC25" s="30">
        <v>0.53349062773672817</v>
      </c>
    </row>
    <row r="26" spans="28:29" ht="26.25" x14ac:dyDescent="0.4">
      <c r="AB26" s="29" t="s">
        <v>9</v>
      </c>
      <c r="AC26" s="30">
        <v>0.50312519564695513</v>
      </c>
    </row>
    <row r="27" spans="28:29" ht="26.25" x14ac:dyDescent="0.4">
      <c r="AB27" s="29" t="s">
        <v>10</v>
      </c>
      <c r="AC27" s="30">
        <v>0.28404527144154601</v>
      </c>
    </row>
    <row r="28" spans="28:29" ht="26.25" x14ac:dyDescent="0.4">
      <c r="AB28" s="29" t="s">
        <v>11</v>
      </c>
      <c r="AC28" s="30">
        <v>0.74974122022721323</v>
      </c>
    </row>
    <row r="29" spans="28:29" ht="26.25" x14ac:dyDescent="0.4">
      <c r="AB29" s="29" t="s">
        <v>12</v>
      </c>
      <c r="AC29" s="30">
        <v>0.43334455985278558</v>
      </c>
    </row>
    <row r="30" spans="28:29" ht="26.25" x14ac:dyDescent="0.4">
      <c r="AB30" s="29" t="s">
        <v>13</v>
      </c>
      <c r="AC30" s="30">
        <v>0.57659096353761674</v>
      </c>
    </row>
    <row r="31" spans="28:29" ht="52.5" x14ac:dyDescent="0.4">
      <c r="AB31" s="29" t="s">
        <v>14</v>
      </c>
      <c r="AC31" s="30">
        <v>0.53240109846432293</v>
      </c>
    </row>
    <row r="32" spans="28:29" ht="26.25" x14ac:dyDescent="0.4">
      <c r="AB32" s="29" t="s">
        <v>15</v>
      </c>
      <c r="AC32" s="30">
        <v>0.66470003898473196</v>
      </c>
    </row>
    <row r="33" spans="28:29" ht="26.25" x14ac:dyDescent="0.4">
      <c r="AB33" s="29" t="s">
        <v>17</v>
      </c>
      <c r="AC33" s="30">
        <v>0.57262364166369439</v>
      </c>
    </row>
    <row r="34" spans="28:29" ht="21" customHeight="1" x14ac:dyDescent="0.4">
      <c r="AB34" s="29" t="s">
        <v>18</v>
      </c>
      <c r="AC34" s="30">
        <v>0.60771528355902471</v>
      </c>
    </row>
    <row r="35" spans="28:29" ht="26.25" hidden="1" x14ac:dyDescent="0.4">
      <c r="AB35" s="29" t="s">
        <v>19</v>
      </c>
      <c r="AC35" s="30">
        <v>0.57846959186261304</v>
      </c>
    </row>
    <row r="36" spans="28:29" ht="17.25" hidden="1" customHeight="1" x14ac:dyDescent="0.4">
      <c r="AB36" s="29" t="s">
        <v>21</v>
      </c>
      <c r="AC36" s="30">
        <v>0.6370303196002749</v>
      </c>
    </row>
    <row r="37" spans="28:29" ht="26.25" x14ac:dyDescent="0.4">
      <c r="AB37" s="29" t="s">
        <v>75</v>
      </c>
      <c r="AC37" s="30">
        <v>0.475614794223162</v>
      </c>
    </row>
    <row r="38" spans="28:29" ht="26.25" x14ac:dyDescent="0.4">
      <c r="AB38" s="29" t="s">
        <v>22</v>
      </c>
      <c r="AC38" s="30">
        <v>0.5547589547140257</v>
      </c>
    </row>
    <row r="39" spans="28:29" ht="26.25" x14ac:dyDescent="0.4">
      <c r="AB39" s="29" t="s">
        <v>23</v>
      </c>
      <c r="AC39" s="30">
        <v>0.49479799216822373</v>
      </c>
    </row>
    <row r="40" spans="28:29" ht="26.25" x14ac:dyDescent="0.4">
      <c r="AB40" s="29" t="s">
        <v>24</v>
      </c>
      <c r="AC40" s="30">
        <v>0.69410330696825495</v>
      </c>
    </row>
    <row r="41" spans="28:29" ht="26.25" x14ac:dyDescent="0.4">
      <c r="AB41" s="29" t="s">
        <v>26</v>
      </c>
      <c r="AC41" s="30">
        <v>0.52337223505903296</v>
      </c>
    </row>
    <row r="42" spans="28:29" ht="26.25" x14ac:dyDescent="0.4">
      <c r="AB42" s="29" t="s">
        <v>16</v>
      </c>
      <c r="AC42" s="30">
        <v>0.39737014174086543</v>
      </c>
    </row>
    <row r="43" spans="28:29" ht="26.25" x14ac:dyDescent="0.4">
      <c r="AB43" s="29" t="s">
        <v>27</v>
      </c>
      <c r="AC43" s="30">
        <v>0.41326536885134574</v>
      </c>
    </row>
    <row r="44" spans="28:29" ht="26.25" x14ac:dyDescent="0.4">
      <c r="AB44" s="29" t="s">
        <v>25</v>
      </c>
      <c r="AC44" s="30">
        <v>0.62353303317874342</v>
      </c>
    </row>
    <row r="45" spans="28:29" ht="26.25" x14ac:dyDescent="0.4">
      <c r="AB45" s="31" t="s">
        <v>28</v>
      </c>
      <c r="AC45" s="30">
        <v>0.55675157164332856</v>
      </c>
    </row>
    <row r="67" spans="4:29" ht="18.75" x14ac:dyDescent="0.25">
      <c r="AC67" s="32"/>
    </row>
    <row r="68" spans="4:29" ht="18.75" x14ac:dyDescent="0.25">
      <c r="AC68" s="32"/>
    </row>
    <row r="69" spans="4:29" ht="18.75" x14ac:dyDescent="0.25">
      <c r="AC69" s="32"/>
    </row>
    <row r="70" spans="4:29" ht="18.75" x14ac:dyDescent="0.25">
      <c r="AC70" s="32"/>
    </row>
    <row r="76" spans="4:29" ht="18.75" x14ac:dyDescent="0.25">
      <c r="D76" s="32"/>
    </row>
  </sheetData>
  <conditionalFormatting sqref="AC20:AC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B89E-C4E5-4DB7-93E9-B59CAB370728}">
  <sheetPr>
    <tabColor rgb="FFFFFF00"/>
  </sheetPr>
  <dimension ref="A2:D39"/>
  <sheetViews>
    <sheetView workbookViewId="0">
      <selection activeCell="A3" sqref="A3"/>
    </sheetView>
  </sheetViews>
  <sheetFormatPr defaultRowHeight="15" x14ac:dyDescent="0.25"/>
  <cols>
    <col min="1" max="1" width="107.85546875" bestFit="1" customWidth="1"/>
    <col min="3" max="3" width="33.28515625" bestFit="1" customWidth="1"/>
    <col min="4" max="4" width="55.28515625" customWidth="1"/>
  </cols>
  <sheetData>
    <row r="2" spans="1:4" x14ac:dyDescent="0.25">
      <c r="A2" s="61" t="s">
        <v>82</v>
      </c>
      <c r="C2" s="65" t="s">
        <v>83</v>
      </c>
      <c r="D2" s="65"/>
    </row>
    <row r="3" spans="1:4" x14ac:dyDescent="0.25">
      <c r="A3" s="62" t="s">
        <v>84</v>
      </c>
      <c r="C3" t="s">
        <v>85</v>
      </c>
      <c r="D3" t="s">
        <v>86</v>
      </c>
    </row>
    <row r="4" spans="1:4" x14ac:dyDescent="0.25">
      <c r="A4" s="62" t="s">
        <v>87</v>
      </c>
      <c r="C4" t="s">
        <v>0</v>
      </c>
      <c r="D4" t="s">
        <v>88</v>
      </c>
    </row>
    <row r="5" spans="1:4" x14ac:dyDescent="0.25">
      <c r="A5" s="62" t="s">
        <v>89</v>
      </c>
      <c r="C5" t="s">
        <v>1</v>
      </c>
      <c r="D5" t="s">
        <v>90</v>
      </c>
    </row>
    <row r="6" spans="1:4" x14ac:dyDescent="0.25">
      <c r="A6" s="62" t="s">
        <v>91</v>
      </c>
      <c r="C6" t="s">
        <v>2</v>
      </c>
      <c r="D6" t="s">
        <v>92</v>
      </c>
    </row>
    <row r="7" spans="1:4" x14ac:dyDescent="0.25">
      <c r="A7" s="62" t="s">
        <v>93</v>
      </c>
      <c r="C7" t="s">
        <v>3</v>
      </c>
      <c r="D7" t="s">
        <v>94</v>
      </c>
    </row>
    <row r="8" spans="1:4" x14ac:dyDescent="0.25">
      <c r="A8" s="63" t="s">
        <v>95</v>
      </c>
      <c r="C8" t="s">
        <v>4</v>
      </c>
      <c r="D8" t="s">
        <v>96</v>
      </c>
    </row>
    <row r="9" spans="1:4" x14ac:dyDescent="0.25">
      <c r="C9" t="s">
        <v>5</v>
      </c>
      <c r="D9" t="s">
        <v>97</v>
      </c>
    </row>
    <row r="10" spans="1:4" x14ac:dyDescent="0.25">
      <c r="C10" t="s">
        <v>6</v>
      </c>
      <c r="D10" t="s">
        <v>98</v>
      </c>
    </row>
    <row r="11" spans="1:4" x14ac:dyDescent="0.25">
      <c r="A11" s="64" t="s">
        <v>99</v>
      </c>
      <c r="C11" t="s">
        <v>7</v>
      </c>
      <c r="D11" t="s">
        <v>100</v>
      </c>
    </row>
    <row r="12" spans="1:4" x14ac:dyDescent="0.25">
      <c r="A12" s="62" t="s">
        <v>101</v>
      </c>
      <c r="C12" t="s">
        <v>8</v>
      </c>
      <c r="D12" t="s">
        <v>102</v>
      </c>
    </row>
    <row r="13" spans="1:4" x14ac:dyDescent="0.25">
      <c r="A13" s="62" t="s">
        <v>103</v>
      </c>
      <c r="C13" t="s">
        <v>9</v>
      </c>
      <c r="D13" t="s">
        <v>104</v>
      </c>
    </row>
    <row r="14" spans="1:4" x14ac:dyDescent="0.25">
      <c r="A14" s="63" t="s">
        <v>105</v>
      </c>
      <c r="C14" t="s">
        <v>10</v>
      </c>
      <c r="D14" t="s">
        <v>106</v>
      </c>
    </row>
    <row r="15" spans="1:4" x14ac:dyDescent="0.25">
      <c r="C15" t="s">
        <v>11</v>
      </c>
      <c r="D15" t="s">
        <v>107</v>
      </c>
    </row>
    <row r="16" spans="1:4" x14ac:dyDescent="0.25">
      <c r="C16" t="s">
        <v>12</v>
      </c>
      <c r="D16" t="s">
        <v>108</v>
      </c>
    </row>
    <row r="17" spans="1:4" x14ac:dyDescent="0.25">
      <c r="A17" s="64" t="s">
        <v>109</v>
      </c>
      <c r="C17" t="s">
        <v>13</v>
      </c>
      <c r="D17" t="s">
        <v>110</v>
      </c>
    </row>
    <row r="18" spans="1:4" x14ac:dyDescent="0.25">
      <c r="A18" s="62" t="s">
        <v>111</v>
      </c>
      <c r="C18" t="s">
        <v>14</v>
      </c>
      <c r="D18" t="s">
        <v>112</v>
      </c>
    </row>
    <row r="19" spans="1:4" x14ac:dyDescent="0.25">
      <c r="A19" s="62" t="s">
        <v>113</v>
      </c>
      <c r="C19" t="s">
        <v>15</v>
      </c>
      <c r="D19" t="s">
        <v>114</v>
      </c>
    </row>
    <row r="20" spans="1:4" x14ac:dyDescent="0.25">
      <c r="A20" s="62" t="s">
        <v>115</v>
      </c>
      <c r="C20" t="s">
        <v>16</v>
      </c>
      <c r="D20" t="s">
        <v>116</v>
      </c>
    </row>
    <row r="21" spans="1:4" x14ac:dyDescent="0.25">
      <c r="A21" s="62" t="s">
        <v>117</v>
      </c>
      <c r="C21" t="s">
        <v>17</v>
      </c>
      <c r="D21" t="s">
        <v>118</v>
      </c>
    </row>
    <row r="22" spans="1:4" x14ac:dyDescent="0.25">
      <c r="A22" s="62" t="s">
        <v>119</v>
      </c>
      <c r="C22" t="s">
        <v>18</v>
      </c>
      <c r="D22" t="s">
        <v>120</v>
      </c>
    </row>
    <row r="23" spans="1:4" x14ac:dyDescent="0.25">
      <c r="A23" s="63" t="s">
        <v>121</v>
      </c>
      <c r="C23" t="s">
        <v>19</v>
      </c>
      <c r="D23" t="s">
        <v>122</v>
      </c>
    </row>
    <row r="24" spans="1:4" x14ac:dyDescent="0.25">
      <c r="C24" t="s">
        <v>20</v>
      </c>
      <c r="D24" t="s">
        <v>123</v>
      </c>
    </row>
    <row r="25" spans="1:4" x14ac:dyDescent="0.25">
      <c r="C25" t="s">
        <v>21</v>
      </c>
      <c r="D25" t="s">
        <v>124</v>
      </c>
    </row>
    <row r="26" spans="1:4" x14ac:dyDescent="0.25">
      <c r="A26" s="64" t="s">
        <v>125</v>
      </c>
      <c r="C26" t="s">
        <v>22</v>
      </c>
      <c r="D26" t="s">
        <v>126</v>
      </c>
    </row>
    <row r="27" spans="1:4" x14ac:dyDescent="0.25">
      <c r="A27" s="62" t="s">
        <v>127</v>
      </c>
      <c r="C27" t="s">
        <v>23</v>
      </c>
      <c r="D27" t="s">
        <v>128</v>
      </c>
    </row>
    <row r="28" spans="1:4" x14ac:dyDescent="0.25">
      <c r="A28" s="62" t="s">
        <v>129</v>
      </c>
      <c r="C28" t="s">
        <v>24</v>
      </c>
      <c r="D28" t="s">
        <v>130</v>
      </c>
    </row>
    <row r="29" spans="1:4" x14ac:dyDescent="0.25">
      <c r="A29" s="62" t="s">
        <v>131</v>
      </c>
      <c r="C29" t="s">
        <v>25</v>
      </c>
      <c r="D29" t="s">
        <v>132</v>
      </c>
    </row>
    <row r="30" spans="1:4" x14ac:dyDescent="0.25">
      <c r="A30" s="62" t="s">
        <v>133</v>
      </c>
      <c r="C30" t="s">
        <v>26</v>
      </c>
      <c r="D30" t="s">
        <v>134</v>
      </c>
    </row>
    <row r="31" spans="1:4" x14ac:dyDescent="0.25">
      <c r="A31" s="63" t="s">
        <v>135</v>
      </c>
      <c r="C31" t="s">
        <v>27</v>
      </c>
      <c r="D31" t="s">
        <v>136</v>
      </c>
    </row>
    <row r="32" spans="1:4" x14ac:dyDescent="0.25">
      <c r="C32" t="s">
        <v>28</v>
      </c>
      <c r="D32" t="s">
        <v>137</v>
      </c>
    </row>
    <row r="33" spans="1:4" x14ac:dyDescent="0.25">
      <c r="C33" t="s">
        <v>29</v>
      </c>
      <c r="D33" t="s">
        <v>138</v>
      </c>
    </row>
    <row r="34" spans="1:4" x14ac:dyDescent="0.25">
      <c r="A34" s="64" t="s">
        <v>139</v>
      </c>
      <c r="C34" t="s">
        <v>140</v>
      </c>
      <c r="D34" t="s">
        <v>141</v>
      </c>
    </row>
    <row r="35" spans="1:4" x14ac:dyDescent="0.25">
      <c r="A35" s="62" t="s">
        <v>142</v>
      </c>
      <c r="C35" t="s">
        <v>143</v>
      </c>
      <c r="D35" t="s">
        <v>144</v>
      </c>
    </row>
    <row r="36" spans="1:4" x14ac:dyDescent="0.25">
      <c r="A36" s="62" t="s">
        <v>145</v>
      </c>
      <c r="C36" t="s">
        <v>146</v>
      </c>
      <c r="D36" t="s">
        <v>147</v>
      </c>
    </row>
    <row r="37" spans="1:4" x14ac:dyDescent="0.25">
      <c r="A37" s="62" t="s">
        <v>148</v>
      </c>
      <c r="C37" t="s">
        <v>149</v>
      </c>
      <c r="D37" t="s">
        <v>150</v>
      </c>
    </row>
    <row r="38" spans="1:4" x14ac:dyDescent="0.25">
      <c r="A38" s="62" t="s">
        <v>151</v>
      </c>
    </row>
    <row r="39" spans="1:4" x14ac:dyDescent="0.25">
      <c r="A39" s="63" t="s">
        <v>152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ECED-6A75-4373-8E58-60982FAD2831}">
  <sheetPr>
    <tabColor theme="0" tint="-0.249977111117893"/>
  </sheetPr>
  <dimension ref="A1:AD37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U1" sqref="U1"/>
    </sheetView>
  </sheetViews>
  <sheetFormatPr defaultRowHeight="15" x14ac:dyDescent="0.25"/>
  <cols>
    <col min="1" max="1" width="11.85546875" bestFit="1" customWidth="1"/>
    <col min="2" max="2" width="9.140625" customWidth="1"/>
    <col min="3" max="3" width="10.85546875" bestFit="1" customWidth="1"/>
    <col min="4" max="4" width="22.140625" bestFit="1" customWidth="1"/>
    <col min="5" max="5" width="15.7109375" bestFit="1" customWidth="1"/>
    <col min="6" max="6" width="8.140625" customWidth="1"/>
    <col min="7" max="7" width="19.42578125" bestFit="1" customWidth="1"/>
    <col min="8" max="8" width="14.7109375" customWidth="1"/>
    <col min="9" max="9" width="10.140625" customWidth="1"/>
    <col min="10" max="10" width="13.42578125" bestFit="1" customWidth="1"/>
    <col min="11" max="11" width="21.28515625" bestFit="1" customWidth="1"/>
    <col min="12" max="12" width="25.42578125" bestFit="1" customWidth="1"/>
    <col min="13" max="13" width="10.5703125" bestFit="1" customWidth="1"/>
    <col min="14" max="14" width="25.7109375" bestFit="1" customWidth="1"/>
    <col min="15" max="15" width="35.7109375" bestFit="1" customWidth="1"/>
    <col min="16" max="16" width="21.42578125" bestFit="1" customWidth="1"/>
    <col min="17" max="17" width="29" bestFit="1" customWidth="1"/>
    <col min="18" max="18" width="10.85546875" bestFit="1" customWidth="1"/>
    <col min="19" max="19" width="11.85546875" bestFit="1" customWidth="1"/>
    <col min="20" max="20" width="23.42578125" bestFit="1" customWidth="1"/>
    <col min="21" max="21" width="10.5703125" bestFit="1" customWidth="1"/>
    <col min="22" max="22" width="15.42578125" bestFit="1" customWidth="1"/>
    <col min="23" max="23" width="30.5703125" bestFit="1" customWidth="1"/>
    <col min="24" max="24" width="10.5703125" bestFit="1" customWidth="1"/>
    <col min="25" max="25" width="30.28515625" bestFit="1" customWidth="1"/>
    <col min="26" max="26" width="28.28515625" bestFit="1" customWidth="1"/>
    <col min="27" max="27" width="12.140625" bestFit="1" customWidth="1"/>
    <col min="28" max="28" width="26" bestFit="1" customWidth="1"/>
    <col min="29" max="29" width="16.42578125" bestFit="1" customWidth="1"/>
    <col min="30" max="30" width="16.140625" bestFit="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37</v>
      </c>
      <c r="D227" s="2">
        <f>AVERAGE(D218,D221,D224)</f>
        <v>136.76666666666665</v>
      </c>
      <c r="E227" s="2">
        <f t="shared" ref="E227:AD229" si="0">AVERAGE(E218,E221,E224)</f>
        <v>153.20000000000002</v>
      </c>
      <c r="F227" s="2">
        <f t="shared" si="0"/>
        <v>138.66666666666666</v>
      </c>
      <c r="G227" s="2">
        <f t="shared" si="0"/>
        <v>142.46666666666667</v>
      </c>
      <c r="H227" s="2">
        <f t="shared" si="0"/>
        <v>124.03333333333335</v>
      </c>
      <c r="I227" s="2">
        <f t="shared" si="0"/>
        <v>135.79999999999998</v>
      </c>
      <c r="J227" s="2">
        <f t="shared" si="0"/>
        <v>129.53333333333333</v>
      </c>
      <c r="K227" s="2">
        <f t="shared" si="0"/>
        <v>121.7</v>
      </c>
      <c r="L227" s="2">
        <f t="shared" si="0"/>
        <v>108.33333333333333</v>
      </c>
      <c r="M227" s="2">
        <f t="shared" si="0"/>
        <v>139</v>
      </c>
      <c r="N227" s="2">
        <f t="shared" si="0"/>
        <v>137.26666666666665</v>
      </c>
      <c r="O227" s="2">
        <f t="shared" si="0"/>
        <v>156.13333333333333</v>
      </c>
      <c r="P227" s="2">
        <f t="shared" si="0"/>
        <v>137.30000000000001</v>
      </c>
      <c r="Q227" s="2">
        <f t="shared" si="0"/>
        <v>162.79999999999998</v>
      </c>
      <c r="R227" s="2">
        <f t="shared" si="0"/>
        <v>150.63333333333335</v>
      </c>
      <c r="S227" s="2">
        <f t="shared" si="0"/>
        <v>145.76666666666665</v>
      </c>
      <c r="T227" s="2">
        <f t="shared" si="0"/>
        <v>149.96666666666667</v>
      </c>
      <c r="U227" s="2" t="s">
        <v>32</v>
      </c>
      <c r="V227" s="2">
        <f t="shared" si="0"/>
        <v>145.96666666666667</v>
      </c>
      <c r="W227" s="2">
        <f t="shared" si="0"/>
        <v>150.06666666666666</v>
      </c>
      <c r="X227" s="2">
        <f t="shared" si="0"/>
        <v>149.96666666666667</v>
      </c>
      <c r="Y227" s="2">
        <f t="shared" si="0"/>
        <v>129.23333333333332</v>
      </c>
      <c r="Z227" s="2">
        <f t="shared" si="0"/>
        <v>143.36666666666667</v>
      </c>
      <c r="AA227" s="2">
        <f t="shared" si="0"/>
        <v>155.4</v>
      </c>
      <c r="AB227" s="2">
        <f t="shared" si="0"/>
        <v>134.13333333333333</v>
      </c>
      <c r="AC227" s="2">
        <f t="shared" si="0"/>
        <v>142.1</v>
      </c>
      <c r="AD227" s="2">
        <f t="shared" si="0"/>
        <v>141.06666666666666</v>
      </c>
    </row>
    <row r="228" spans="1:30" x14ac:dyDescent="0.25">
      <c r="A228" t="s">
        <v>33</v>
      </c>
      <c r="B228">
        <v>2019</v>
      </c>
      <c r="C228" t="s">
        <v>37</v>
      </c>
      <c r="D228" s="2">
        <f t="shared" ref="D228:S229" si="1">AVERAGE(D219,D222,D225)</f>
        <v>139.13333333333335</v>
      </c>
      <c r="E228" s="2">
        <f t="shared" si="1"/>
        <v>150.20000000000002</v>
      </c>
      <c r="F228" s="2">
        <f t="shared" si="1"/>
        <v>143.9</v>
      </c>
      <c r="G228" s="2">
        <f t="shared" si="1"/>
        <v>141.76666666666665</v>
      </c>
      <c r="H228" s="2">
        <f t="shared" si="1"/>
        <v>118.3</v>
      </c>
      <c r="I228" s="2">
        <f t="shared" si="1"/>
        <v>137.20000000000002</v>
      </c>
      <c r="J228" s="2">
        <f t="shared" si="1"/>
        <v>134.43333333333334</v>
      </c>
      <c r="K228" s="2">
        <f t="shared" si="1"/>
        <v>119.60000000000001</v>
      </c>
      <c r="L228" s="2">
        <f t="shared" si="1"/>
        <v>110.40000000000002</v>
      </c>
      <c r="M228" s="2">
        <f t="shared" si="1"/>
        <v>140.63333333333335</v>
      </c>
      <c r="N228" s="2">
        <f t="shared" si="1"/>
        <v>128.29999999999998</v>
      </c>
      <c r="O228" s="2">
        <f t="shared" si="1"/>
        <v>153.53333333333333</v>
      </c>
      <c r="P228" s="2">
        <f t="shared" si="1"/>
        <v>138.29999999999998</v>
      </c>
      <c r="Q228" s="2">
        <f t="shared" si="1"/>
        <v>164.96666666666667</v>
      </c>
      <c r="R228" s="2">
        <f t="shared" si="1"/>
        <v>143.26666666666668</v>
      </c>
      <c r="S228" s="2">
        <f t="shared" si="1"/>
        <v>130.80000000000001</v>
      </c>
      <c r="T228" s="2">
        <f t="shared" si="0"/>
        <v>141.36666666666667</v>
      </c>
      <c r="U228" s="2">
        <f t="shared" si="0"/>
        <v>148.4</v>
      </c>
      <c r="V228" s="2">
        <f t="shared" si="0"/>
        <v>128.16666666666666</v>
      </c>
      <c r="W228" s="2">
        <f t="shared" si="0"/>
        <v>136.56666666666666</v>
      </c>
      <c r="X228" s="2">
        <f t="shared" si="0"/>
        <v>138.5</v>
      </c>
      <c r="Y228" s="2">
        <f t="shared" si="0"/>
        <v>119.23333333333335</v>
      </c>
      <c r="Z228" s="2">
        <f t="shared" si="0"/>
        <v>132.36666666666667</v>
      </c>
      <c r="AA228" s="2">
        <f t="shared" si="0"/>
        <v>146.63333333333333</v>
      </c>
      <c r="AB228" s="2">
        <f t="shared" si="0"/>
        <v>132.4</v>
      </c>
      <c r="AC228" s="2">
        <f t="shared" si="0"/>
        <v>132.33333333333334</v>
      </c>
      <c r="AD228" s="2">
        <f t="shared" si="0"/>
        <v>138.70000000000002</v>
      </c>
    </row>
    <row r="229" spans="1:30" x14ac:dyDescent="0.25">
      <c r="A229" t="s">
        <v>34</v>
      </c>
      <c r="B229">
        <v>2019</v>
      </c>
      <c r="C229" t="s">
        <v>37</v>
      </c>
      <c r="D229" s="2">
        <f t="shared" si="1"/>
        <v>137.5</v>
      </c>
      <c r="E229" s="2">
        <f t="shared" si="0"/>
        <v>152.13333333333333</v>
      </c>
      <c r="F229" s="2">
        <f t="shared" si="0"/>
        <v>140.66666666666666</v>
      </c>
      <c r="G229" s="2">
        <f t="shared" si="0"/>
        <v>142.19999999999999</v>
      </c>
      <c r="H229" s="2">
        <f t="shared" si="0"/>
        <v>121.93333333333334</v>
      </c>
      <c r="I229" s="2">
        <f t="shared" si="0"/>
        <v>136.46666666666667</v>
      </c>
      <c r="J229" s="2">
        <f t="shared" si="0"/>
        <v>131.20000000000002</v>
      </c>
      <c r="K229" s="2">
        <f t="shared" si="0"/>
        <v>121.03333333333335</v>
      </c>
      <c r="L229" s="2">
        <f t="shared" si="0"/>
        <v>109.03333333333335</v>
      </c>
      <c r="M229" s="2">
        <f t="shared" si="0"/>
        <v>139.53333333333333</v>
      </c>
      <c r="N229" s="2">
        <f t="shared" si="0"/>
        <v>133.53333333333333</v>
      </c>
      <c r="O229" s="2">
        <f t="shared" si="0"/>
        <v>154.9</v>
      </c>
      <c r="P229" s="2">
        <f t="shared" si="0"/>
        <v>137.66666666666666</v>
      </c>
      <c r="Q229" s="2">
        <f t="shared" si="0"/>
        <v>163.36666666666667</v>
      </c>
      <c r="R229" s="2">
        <f t="shared" si="0"/>
        <v>147.73333333333332</v>
      </c>
      <c r="S229" s="2">
        <f t="shared" si="0"/>
        <v>139.53333333333333</v>
      </c>
      <c r="T229" s="2">
        <f t="shared" si="0"/>
        <v>146.53333333333333</v>
      </c>
      <c r="U229" s="2">
        <f t="shared" si="0"/>
        <v>148.4</v>
      </c>
      <c r="V229" s="2">
        <f t="shared" si="0"/>
        <v>139.19999999999999</v>
      </c>
      <c r="W229" s="2">
        <f t="shared" si="0"/>
        <v>143.69999999999999</v>
      </c>
      <c r="X229" s="2">
        <f t="shared" si="0"/>
        <v>145.63333333333333</v>
      </c>
      <c r="Y229" s="2">
        <f t="shared" si="0"/>
        <v>123.93333333333332</v>
      </c>
      <c r="Z229" s="2">
        <f t="shared" si="0"/>
        <v>137.16666666666666</v>
      </c>
      <c r="AA229" s="2">
        <f t="shared" si="0"/>
        <v>150.26666666666668</v>
      </c>
      <c r="AB229" s="2">
        <f t="shared" si="0"/>
        <v>133.43333333333331</v>
      </c>
      <c r="AC229" s="2">
        <f t="shared" si="0"/>
        <v>137.33333333333334</v>
      </c>
      <c r="AD229" s="2">
        <f t="shared" si="0"/>
        <v>139.96666666666667</v>
      </c>
    </row>
    <row r="230" spans="1:30" x14ac:dyDescent="0.25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 t="s">
        <v>32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</row>
    <row r="231" spans="1:30" x14ac:dyDescent="0.25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</row>
    <row r="232" spans="1:30" x14ac:dyDescent="0.25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</row>
    <row r="233" spans="1:30" x14ac:dyDescent="0.25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 t="s">
        <v>32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</row>
    <row r="234" spans="1:30" x14ac:dyDescent="0.25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</row>
    <row r="235" spans="1:30" x14ac:dyDescent="0.25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</row>
    <row r="236" spans="1:30" x14ac:dyDescent="0.25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 t="s">
        <v>32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</row>
    <row r="237" spans="1:30" x14ac:dyDescent="0.25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</row>
    <row r="238" spans="1:30" x14ac:dyDescent="0.25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</row>
    <row r="239" spans="1:30" x14ac:dyDescent="0.25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 t="s">
        <v>32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</row>
    <row r="240" spans="1:30" x14ac:dyDescent="0.25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151.6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</row>
    <row r="241" spans="1:30" x14ac:dyDescent="0.25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</row>
    <row r="242" spans="1:30" x14ac:dyDescent="0.25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 t="s">
        <v>32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</row>
    <row r="243" spans="1:30" x14ac:dyDescent="0.25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</row>
    <row r="244" spans="1:30" x14ac:dyDescent="0.25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</row>
    <row r="245" spans="1:30" x14ac:dyDescent="0.25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 t="s">
        <v>32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</row>
    <row r="246" spans="1:30" x14ac:dyDescent="0.25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</row>
    <row r="247" spans="1:30" x14ac:dyDescent="0.25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</row>
    <row r="248" spans="1:30" x14ac:dyDescent="0.25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 t="s">
        <v>32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</row>
    <row r="249" spans="1:30" x14ac:dyDescent="0.25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</row>
    <row r="250" spans="1:30" x14ac:dyDescent="0.25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</row>
    <row r="251" spans="1:30" x14ac:dyDescent="0.25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 t="s">
        <v>32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</row>
    <row r="252" spans="1:30" x14ac:dyDescent="0.25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</row>
    <row r="253" spans="1:30" x14ac:dyDescent="0.25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</row>
    <row r="254" spans="1:30" x14ac:dyDescent="0.25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 t="s">
        <v>32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</row>
    <row r="255" spans="1:30" x14ac:dyDescent="0.25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</row>
    <row r="256" spans="1:30" x14ac:dyDescent="0.25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</row>
    <row r="257" spans="1:30" x14ac:dyDescent="0.25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 t="s">
        <v>32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</row>
    <row r="258" spans="1:30" x14ac:dyDescent="0.25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</row>
    <row r="259" spans="1:30" x14ac:dyDescent="0.25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</row>
    <row r="260" spans="1:30" x14ac:dyDescent="0.25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 t="s">
        <v>32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</row>
    <row r="261" spans="1:30" x14ac:dyDescent="0.25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</row>
    <row r="262" spans="1:30" x14ac:dyDescent="0.25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x14ac:dyDescent="0.25">
      <c r="A263" t="s">
        <v>30</v>
      </c>
      <c r="B263">
        <v>2020</v>
      </c>
      <c r="C263" t="s">
        <v>37</v>
      </c>
      <c r="D263">
        <v>147.19999999999999</v>
      </c>
      <c r="E263" s="2">
        <f>AVERAGE(E254,E257,E260)</f>
        <v>167.20000000000002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s="2">
        <f t="shared" ref="O263:AD268" si="2">AVERAGE(O254,O257,O260)</f>
        <v>159.29999999999998</v>
      </c>
      <c r="P263">
        <v>150.1</v>
      </c>
      <c r="Q263" s="2">
        <f t="shared" si="2"/>
        <v>169.5</v>
      </c>
      <c r="R263" s="2">
        <f t="shared" si="2"/>
        <v>153.06666666666669</v>
      </c>
      <c r="S263">
        <f t="shared" si="2"/>
        <v>147.5</v>
      </c>
      <c r="T263">
        <f t="shared" si="2"/>
        <v>152.29999999999998</v>
      </c>
      <c r="U263" t="e">
        <f t="shared" si="2"/>
        <v>#DIV/0!</v>
      </c>
      <c r="V263">
        <v>148.4</v>
      </c>
      <c r="W263" s="2">
        <f t="shared" si="2"/>
        <v>151.66666666666666</v>
      </c>
      <c r="X263">
        <v>154.30000000000001</v>
      </c>
      <c r="Y263" s="2">
        <f t="shared" ref="Y263:AD265" si="3">AVERAGE(Y254,Y257,Y260)</f>
        <v>136.03333333333333</v>
      </c>
      <c r="Z263" s="2">
        <f t="shared" si="3"/>
        <v>150.56666666666666</v>
      </c>
      <c r="AA263" s="2">
        <f t="shared" si="3"/>
        <v>161.6</v>
      </c>
      <c r="AB263" s="2">
        <f t="shared" si="3"/>
        <v>143.66666666666666</v>
      </c>
      <c r="AC263" s="2">
        <f t="shared" si="3"/>
        <v>148.36666666666667</v>
      </c>
      <c r="AD263" s="2">
        <f t="shared" si="3"/>
        <v>150.70000000000002</v>
      </c>
    </row>
    <row r="264" spans="1:30" x14ac:dyDescent="0.25">
      <c r="A264" t="s">
        <v>33</v>
      </c>
      <c r="B264">
        <v>2020</v>
      </c>
      <c r="C264" t="s">
        <v>37</v>
      </c>
      <c r="D264">
        <v>151.80000000000001</v>
      </c>
      <c r="E264" s="2">
        <f t="shared" ref="E264:F268" si="4">AVERAGE(E255,E258,E261)</f>
        <v>167.56666666666666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s="2">
        <f t="shared" si="2"/>
        <v>158.86666666666667</v>
      </c>
      <c r="P264">
        <v>153.5</v>
      </c>
      <c r="Q264" s="2">
        <f t="shared" si="2"/>
        <v>172.03333333333333</v>
      </c>
      <c r="R264" s="2">
        <f t="shared" si="2"/>
        <v>147.33333333333334</v>
      </c>
      <c r="S264">
        <f t="shared" si="2"/>
        <v>133.5</v>
      </c>
      <c r="T264" s="2">
        <f t="shared" si="2"/>
        <v>145.23333333333335</v>
      </c>
      <c r="U264">
        <f t="shared" si="2"/>
        <v>154.4</v>
      </c>
      <c r="V264">
        <v>137.1</v>
      </c>
      <c r="W264" s="2">
        <f t="shared" si="2"/>
        <v>140.43333333333334</v>
      </c>
      <c r="X264">
        <v>144.80000000000001</v>
      </c>
      <c r="Y264" s="2">
        <f t="shared" si="2"/>
        <v>125.3</v>
      </c>
      <c r="Z264" s="2">
        <f t="shared" si="3"/>
        <v>137.6</v>
      </c>
      <c r="AA264" s="2">
        <f t="shared" si="3"/>
        <v>152.26666666666665</v>
      </c>
      <c r="AB264" s="2">
        <f t="shared" si="3"/>
        <v>143.63333333333335</v>
      </c>
      <c r="AC264" s="2">
        <f t="shared" si="3"/>
        <v>138.5</v>
      </c>
      <c r="AD264" s="2">
        <f t="shared" si="3"/>
        <v>147.73333333333332</v>
      </c>
    </row>
    <row r="265" spans="1:30" x14ac:dyDescent="0.25">
      <c r="A265" t="s">
        <v>34</v>
      </c>
      <c r="B265">
        <v>2020</v>
      </c>
      <c r="C265" t="s">
        <v>37</v>
      </c>
      <c r="D265">
        <v>148.69999999999999</v>
      </c>
      <c r="E265" s="2">
        <f t="shared" si="4"/>
        <v>167.29999999999998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s="2">
        <f t="shared" si="2"/>
        <v>159.1</v>
      </c>
      <c r="P265">
        <v>151.4</v>
      </c>
      <c r="Q265" s="2">
        <f t="shared" si="2"/>
        <v>170.16666666666666</v>
      </c>
      <c r="R265" s="2">
        <f t="shared" si="2"/>
        <v>150.83333333333334</v>
      </c>
      <c r="S265">
        <f t="shared" si="2"/>
        <v>141.70000000000002</v>
      </c>
      <c r="T265">
        <f t="shared" si="2"/>
        <v>149.5</v>
      </c>
      <c r="U265">
        <f t="shared" si="2"/>
        <v>154.4</v>
      </c>
      <c r="V265">
        <v>144.1</v>
      </c>
      <c r="W265" s="2">
        <f t="shared" si="2"/>
        <v>146.33333333333334</v>
      </c>
      <c r="X265">
        <v>150.69999999999999</v>
      </c>
      <c r="Y265" s="2">
        <f t="shared" si="2"/>
        <v>130.36666666666667</v>
      </c>
      <c r="Z265" s="2">
        <f t="shared" si="3"/>
        <v>143.23333333333332</v>
      </c>
      <c r="AA265" s="2">
        <f t="shared" si="3"/>
        <v>156.13333333333333</v>
      </c>
      <c r="AB265" s="2">
        <f t="shared" si="3"/>
        <v>143.63333333333335</v>
      </c>
      <c r="AC265" s="2">
        <f t="shared" si="3"/>
        <v>143.6</v>
      </c>
      <c r="AD265" s="2">
        <f t="shared" si="3"/>
        <v>149.29999999999998</v>
      </c>
    </row>
    <row r="266" spans="1:30" x14ac:dyDescent="0.25">
      <c r="A266" t="s">
        <v>30</v>
      </c>
      <c r="B266">
        <v>2020</v>
      </c>
      <c r="C266" t="s">
        <v>38</v>
      </c>
      <c r="D266" s="2">
        <f>AVERAGE(D257,D260,D263)</f>
        <v>145.26666666666668</v>
      </c>
      <c r="E266" s="2">
        <f t="shared" si="4"/>
        <v>167.16666666666666</v>
      </c>
      <c r="F266" s="2">
        <f>AVERAGE(F257,F260,F263)</f>
        <v>148.46666666666667</v>
      </c>
      <c r="G266" s="2">
        <f t="shared" ref="G266:N268" si="5">AVERAGE(G257,G260,G263)</f>
        <v>152.73333333333335</v>
      </c>
      <c r="H266" s="2">
        <f t="shared" si="5"/>
        <v>134.70000000000002</v>
      </c>
      <c r="I266" s="2">
        <f t="shared" si="5"/>
        <v>143.26666666666668</v>
      </c>
      <c r="J266" s="2">
        <f t="shared" si="5"/>
        <v>160.03333333333333</v>
      </c>
      <c r="K266" s="2">
        <f t="shared" si="5"/>
        <v>144.6</v>
      </c>
      <c r="L266" s="2">
        <f t="shared" si="5"/>
        <v>115.16666666666667</v>
      </c>
      <c r="M266" s="2">
        <f t="shared" si="5"/>
        <v>155.16666666666666</v>
      </c>
      <c r="N266" s="2">
        <f t="shared" si="5"/>
        <v>139.79999999999998</v>
      </c>
      <c r="O266" s="2">
        <f t="shared" si="2"/>
        <v>159.5</v>
      </c>
      <c r="P266" s="2">
        <f t="shared" si="2"/>
        <v>149.36666666666667</v>
      </c>
      <c r="Q266" s="2">
        <f t="shared" si="2"/>
        <v>169.79999999999998</v>
      </c>
      <c r="R266" s="2">
        <f t="shared" si="2"/>
        <v>153.15555555555557</v>
      </c>
      <c r="S266" s="2">
        <f t="shared" si="2"/>
        <v>147.53333333333333</v>
      </c>
      <c r="T266" s="2">
        <f t="shared" si="2"/>
        <v>152.36666666666667</v>
      </c>
      <c r="U266" s="2" t="e">
        <f t="shared" si="2"/>
        <v>#DIV/0!</v>
      </c>
      <c r="V266" s="2">
        <f t="shared" si="2"/>
        <v>151.36666666666667</v>
      </c>
      <c r="W266" s="2">
        <f t="shared" si="2"/>
        <v>151.65555555555557</v>
      </c>
      <c r="X266" s="2">
        <f t="shared" si="2"/>
        <v>155.73333333333332</v>
      </c>
      <c r="Y266" s="2">
        <f t="shared" si="2"/>
        <v>135.94444444444446</v>
      </c>
      <c r="Z266" s="2">
        <f t="shared" si="2"/>
        <v>150.72222222222223</v>
      </c>
      <c r="AA266" s="2">
        <f t="shared" si="2"/>
        <v>161.56666666666669</v>
      </c>
      <c r="AB266" s="2">
        <f t="shared" si="2"/>
        <v>144.05555555555554</v>
      </c>
      <c r="AC266" s="2">
        <f t="shared" si="2"/>
        <v>148.45555555555555</v>
      </c>
      <c r="AD266" s="2">
        <f t="shared" si="2"/>
        <v>150.30000000000004</v>
      </c>
    </row>
    <row r="267" spans="1:30" x14ac:dyDescent="0.25">
      <c r="A267" t="s">
        <v>33</v>
      </c>
      <c r="B267">
        <v>2020</v>
      </c>
      <c r="C267" t="s">
        <v>38</v>
      </c>
      <c r="D267" s="2">
        <f t="shared" ref="D267:D268" si="6">AVERAGE(D258,D261,D264)</f>
        <v>148.16666666666666</v>
      </c>
      <c r="E267" s="2">
        <f t="shared" si="4"/>
        <v>167.55555555555557</v>
      </c>
      <c r="F267" s="2">
        <f t="shared" si="4"/>
        <v>151.29999999999998</v>
      </c>
      <c r="G267" s="2">
        <f t="shared" si="5"/>
        <v>152.43333333333331</v>
      </c>
      <c r="H267" s="2">
        <f t="shared" si="5"/>
        <v>128.83333333333334</v>
      </c>
      <c r="I267" s="2">
        <f t="shared" si="5"/>
        <v>146.43333333333331</v>
      </c>
      <c r="J267" s="2">
        <f t="shared" si="5"/>
        <v>176.23333333333335</v>
      </c>
      <c r="K267" s="2">
        <f t="shared" si="5"/>
        <v>143.36666666666665</v>
      </c>
      <c r="L267" s="2">
        <f t="shared" si="5"/>
        <v>116.73333333333333</v>
      </c>
      <c r="M267" s="2">
        <f t="shared" si="5"/>
        <v>151.96666666666667</v>
      </c>
      <c r="N267" s="2">
        <f t="shared" si="5"/>
        <v>132.29999999999998</v>
      </c>
      <c r="O267" s="2">
        <f t="shared" si="2"/>
        <v>158.98888888888891</v>
      </c>
      <c r="P267" s="2">
        <f t="shared" si="2"/>
        <v>151.76666666666665</v>
      </c>
      <c r="Q267" s="2">
        <f t="shared" si="2"/>
        <v>172.44444444444446</v>
      </c>
      <c r="R267" s="2">
        <f t="shared" si="2"/>
        <v>147.44444444444446</v>
      </c>
      <c r="S267" s="2">
        <f t="shared" si="2"/>
        <v>133.6</v>
      </c>
      <c r="T267" s="2">
        <f t="shared" si="2"/>
        <v>145.34444444444443</v>
      </c>
      <c r="U267" s="2">
        <f t="shared" si="2"/>
        <v>154.56666666666669</v>
      </c>
      <c r="V267" s="2">
        <f t="shared" si="2"/>
        <v>139.13333333333333</v>
      </c>
      <c r="W267" s="2">
        <f t="shared" si="2"/>
        <v>140.54444444444445</v>
      </c>
      <c r="X267" s="2">
        <f t="shared" si="2"/>
        <v>144.73333333333332</v>
      </c>
      <c r="Y267" s="2">
        <f t="shared" si="2"/>
        <v>125.03333333333335</v>
      </c>
      <c r="Z267" s="2">
        <f t="shared" si="2"/>
        <v>137.73333333333335</v>
      </c>
      <c r="AA267" s="2">
        <f t="shared" si="2"/>
        <v>152.32222222222222</v>
      </c>
      <c r="AB267" s="2">
        <f t="shared" si="2"/>
        <v>144.14444444444447</v>
      </c>
      <c r="AC267" s="2">
        <f t="shared" si="2"/>
        <v>138.53333333333333</v>
      </c>
      <c r="AD267" s="2">
        <f t="shared" si="2"/>
        <v>147.57777777777778</v>
      </c>
    </row>
    <row r="268" spans="1:30" x14ac:dyDescent="0.25">
      <c r="A268" t="s">
        <v>34</v>
      </c>
      <c r="B268">
        <v>2020</v>
      </c>
      <c r="C268" t="s">
        <v>38</v>
      </c>
      <c r="D268" s="2">
        <f t="shared" si="6"/>
        <v>146.19999999999999</v>
      </c>
      <c r="E268" s="2">
        <f t="shared" si="4"/>
        <v>167.26666666666665</v>
      </c>
      <c r="F268" s="2">
        <f t="shared" si="4"/>
        <v>149.56666666666666</v>
      </c>
      <c r="G268" s="2">
        <f t="shared" si="5"/>
        <v>152.63333333333333</v>
      </c>
      <c r="H268" s="2">
        <f t="shared" si="5"/>
        <v>132.56666666666669</v>
      </c>
      <c r="I268" s="2">
        <f t="shared" si="5"/>
        <v>144.73333333333335</v>
      </c>
      <c r="J268" s="2">
        <f t="shared" si="5"/>
        <v>165.53333333333333</v>
      </c>
      <c r="K268" s="2">
        <f t="shared" si="5"/>
        <v>144.20000000000002</v>
      </c>
      <c r="L268" s="2">
        <f t="shared" si="5"/>
        <v>115.7</v>
      </c>
      <c r="M268" s="2">
        <f t="shared" si="5"/>
        <v>154.1</v>
      </c>
      <c r="N268" s="2">
        <f t="shared" si="5"/>
        <v>136.66666666666666</v>
      </c>
      <c r="O268" s="2">
        <f t="shared" si="2"/>
        <v>159.26666666666665</v>
      </c>
      <c r="P268" s="2">
        <f t="shared" si="2"/>
        <v>150.26666666666665</v>
      </c>
      <c r="Q268" s="2">
        <f t="shared" si="2"/>
        <v>170.48888888888885</v>
      </c>
      <c r="R268" s="2">
        <f t="shared" si="2"/>
        <v>150.94444444444446</v>
      </c>
      <c r="S268" s="2">
        <f t="shared" si="2"/>
        <v>141.76666666666668</v>
      </c>
      <c r="T268" s="2">
        <f t="shared" si="2"/>
        <v>149.6</v>
      </c>
      <c r="U268" s="2">
        <f t="shared" si="2"/>
        <v>154.56666666666669</v>
      </c>
      <c r="V268" s="2">
        <f t="shared" si="2"/>
        <v>146.73333333333335</v>
      </c>
      <c r="W268" s="2">
        <f t="shared" si="2"/>
        <v>146.37777777777777</v>
      </c>
      <c r="X268" s="2">
        <f t="shared" si="2"/>
        <v>151.56666666666666</v>
      </c>
      <c r="Y268" s="2">
        <f t="shared" si="2"/>
        <v>130.1888888888889</v>
      </c>
      <c r="Z268" s="2">
        <f t="shared" si="2"/>
        <v>143.37777777777777</v>
      </c>
      <c r="AA268" s="2">
        <f t="shared" si="2"/>
        <v>156.14444444444442</v>
      </c>
      <c r="AB268" s="2">
        <f t="shared" si="2"/>
        <v>144.07777777777778</v>
      </c>
      <c r="AC268" s="2">
        <f t="shared" si="2"/>
        <v>143.66666666666666</v>
      </c>
      <c r="AD268" s="2">
        <f t="shared" si="2"/>
        <v>149</v>
      </c>
    </row>
    <row r="269" spans="1:30" x14ac:dyDescent="0.25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 t="s">
        <v>32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</row>
    <row r="273" spans="1:30" x14ac:dyDescent="0.25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</row>
    <row r="274" spans="1:30" x14ac:dyDescent="0.25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</row>
    <row r="275" spans="1:30" x14ac:dyDescent="0.25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 t="s">
        <v>32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</row>
    <row r="276" spans="1:30" x14ac:dyDescent="0.25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</row>
    <row r="277" spans="1:30" x14ac:dyDescent="0.25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</row>
    <row r="278" spans="1:30" x14ac:dyDescent="0.25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 t="s">
        <v>32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</row>
    <row r="279" spans="1:30" x14ac:dyDescent="0.25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</row>
    <row r="280" spans="1:30" x14ac:dyDescent="0.25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</row>
    <row r="281" spans="1:30" x14ac:dyDescent="0.25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 t="s">
        <v>32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</row>
    <row r="282" spans="1:30" x14ac:dyDescent="0.25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</row>
    <row r="283" spans="1:30" x14ac:dyDescent="0.25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</row>
    <row r="284" spans="1:30" x14ac:dyDescent="0.25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 t="s">
        <v>32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</row>
    <row r="285" spans="1:30" x14ac:dyDescent="0.25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</row>
    <row r="286" spans="1:30" x14ac:dyDescent="0.25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</row>
    <row r="287" spans="1:30" x14ac:dyDescent="0.25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 t="s">
        <v>32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</row>
    <row r="288" spans="1:30" x14ac:dyDescent="0.25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</row>
    <row r="289" spans="1:30" x14ac:dyDescent="0.25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</row>
    <row r="290" spans="1:30" x14ac:dyDescent="0.25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 t="s">
        <v>32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</row>
    <row r="291" spans="1:30" x14ac:dyDescent="0.25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</row>
    <row r="292" spans="1:30" x14ac:dyDescent="0.25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</row>
    <row r="293" spans="1:30" x14ac:dyDescent="0.25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 t="s">
        <v>32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</row>
    <row r="295" spans="1:30" x14ac:dyDescent="0.25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</row>
    <row r="296" spans="1:30" x14ac:dyDescent="0.25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 t="s">
        <v>47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</row>
    <row r="297" spans="1:30" x14ac:dyDescent="0.25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</row>
    <row r="298" spans="1:30" x14ac:dyDescent="0.25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</row>
    <row r="299" spans="1:30" x14ac:dyDescent="0.25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 t="s">
        <v>47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</row>
    <row r="300" spans="1:30" x14ac:dyDescent="0.25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</row>
    <row r="301" spans="1:30" x14ac:dyDescent="0.25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</row>
    <row r="302" spans="1:30" x14ac:dyDescent="0.25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 t="s">
        <v>32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</row>
    <row r="303" spans="1:30" x14ac:dyDescent="0.25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</row>
    <row r="304" spans="1:30" x14ac:dyDescent="0.25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</row>
    <row r="305" spans="1:30" x14ac:dyDescent="0.25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 t="s">
        <v>32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</row>
    <row r="306" spans="1:30" x14ac:dyDescent="0.25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</row>
    <row r="307" spans="1:30" x14ac:dyDescent="0.25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</row>
    <row r="308" spans="1:30" x14ac:dyDescent="0.25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 t="s">
        <v>32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</row>
    <row r="309" spans="1:30" x14ac:dyDescent="0.25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</row>
    <row r="310" spans="1:30" x14ac:dyDescent="0.25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</row>
    <row r="311" spans="1:30" x14ac:dyDescent="0.25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 t="s">
        <v>32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</row>
    <row r="312" spans="1:30" x14ac:dyDescent="0.25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 t="s">
        <v>32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</row>
    <row r="315" spans="1:30" x14ac:dyDescent="0.25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</row>
    <row r="316" spans="1:30" x14ac:dyDescent="0.25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</row>
    <row r="317" spans="1:30" x14ac:dyDescent="0.25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 t="s">
        <v>32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</row>
    <row r="318" spans="1:30" x14ac:dyDescent="0.25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</row>
    <row r="319" spans="1:30" x14ac:dyDescent="0.25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</row>
    <row r="320" spans="1:30" x14ac:dyDescent="0.25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 t="s">
        <v>32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</row>
    <row r="321" spans="1:30" x14ac:dyDescent="0.25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</row>
    <row r="322" spans="1:30" x14ac:dyDescent="0.25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</row>
    <row r="323" spans="1:30" x14ac:dyDescent="0.25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 t="s">
        <v>32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</row>
    <row r="324" spans="1:30" x14ac:dyDescent="0.25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</row>
    <row r="325" spans="1:30" x14ac:dyDescent="0.25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</row>
    <row r="326" spans="1:30" x14ac:dyDescent="0.25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 t="s">
        <v>32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</row>
    <row r="327" spans="1:30" x14ac:dyDescent="0.25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</row>
    <row r="328" spans="1:30" x14ac:dyDescent="0.25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</row>
    <row r="329" spans="1:30" x14ac:dyDescent="0.25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 t="s">
        <v>32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</row>
    <row r="330" spans="1:30" x14ac:dyDescent="0.25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</row>
    <row r="331" spans="1:30" x14ac:dyDescent="0.25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</row>
    <row r="332" spans="1:30" x14ac:dyDescent="0.25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 t="s">
        <v>32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</row>
    <row r="333" spans="1:30" x14ac:dyDescent="0.25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</row>
    <row r="334" spans="1:30" x14ac:dyDescent="0.25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</row>
    <row r="335" spans="1:30" x14ac:dyDescent="0.25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 t="s">
        <v>32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</row>
    <row r="336" spans="1:30" x14ac:dyDescent="0.25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</row>
    <row r="337" spans="1:30" x14ac:dyDescent="0.25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</row>
    <row r="338" spans="1:30" x14ac:dyDescent="0.25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 t="s">
        <v>32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</row>
    <row r="339" spans="1:30" x14ac:dyDescent="0.25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</row>
    <row r="340" spans="1:30" x14ac:dyDescent="0.25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</row>
    <row r="341" spans="1:30" x14ac:dyDescent="0.25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 t="s">
        <v>32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</row>
    <row r="342" spans="1:30" x14ac:dyDescent="0.25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</row>
    <row r="343" spans="1:30" x14ac:dyDescent="0.25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</row>
    <row r="344" spans="1:30" x14ac:dyDescent="0.25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 t="s">
        <v>32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</row>
    <row r="345" spans="1:30" x14ac:dyDescent="0.25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</row>
    <row r="346" spans="1:30" x14ac:dyDescent="0.25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</row>
    <row r="347" spans="1:30" x14ac:dyDescent="0.25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 t="s">
        <v>32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</row>
    <row r="348" spans="1:30" x14ac:dyDescent="0.25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</row>
    <row r="349" spans="1:30" x14ac:dyDescent="0.25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</row>
    <row r="350" spans="1:30" x14ac:dyDescent="0.25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 t="s">
        <v>32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</row>
    <row r="351" spans="1:30" x14ac:dyDescent="0.25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</row>
    <row r="352" spans="1:30" x14ac:dyDescent="0.25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</row>
    <row r="353" spans="1:30" x14ac:dyDescent="0.25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 t="s">
        <v>32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</row>
    <row r="354" spans="1:30" x14ac:dyDescent="0.25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</row>
    <row r="355" spans="1:30" x14ac:dyDescent="0.25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</row>
    <row r="356" spans="1:30" x14ac:dyDescent="0.25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 t="s">
        <v>32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</row>
    <row r="357" spans="1:30" x14ac:dyDescent="0.25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</row>
    <row r="358" spans="1:30" x14ac:dyDescent="0.25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</row>
    <row r="359" spans="1:30" x14ac:dyDescent="0.25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 t="s">
        <v>32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</row>
    <row r="360" spans="1:30" x14ac:dyDescent="0.25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</row>
    <row r="361" spans="1:30" x14ac:dyDescent="0.25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</row>
    <row r="362" spans="1:30" x14ac:dyDescent="0.25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 t="s">
        <v>32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</row>
    <row r="363" spans="1:30" x14ac:dyDescent="0.25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</row>
    <row r="364" spans="1:30" x14ac:dyDescent="0.25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</row>
    <row r="365" spans="1:30" x14ac:dyDescent="0.25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 t="s">
        <v>32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 t="s">
        <v>32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</row>
    <row r="369" spans="1:30" x14ac:dyDescent="0.25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</row>
    <row r="370" spans="1:30" x14ac:dyDescent="0.25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</row>
    <row r="371" spans="1:30" x14ac:dyDescent="0.25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 t="s">
        <v>47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</row>
    <row r="372" spans="1:30" x14ac:dyDescent="0.25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</row>
    <row r="373" spans="1:30" x14ac:dyDescent="0.25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</row>
    <row r="374" spans="1:30" x14ac:dyDescent="0.25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 t="s">
        <v>47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</row>
    <row r="375" spans="1:30" x14ac:dyDescent="0.25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</row>
    <row r="376" spans="1:30" x14ac:dyDescent="0.25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</row>
  </sheetData>
  <autoFilter ref="A1:AD376" xr:uid="{6451ECED-6A75-4373-8E58-60982FAD2831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BE36-6653-4264-88A1-6D84BE3AF27A}">
  <sheetPr>
    <tabColor rgb="FFFFC000"/>
  </sheetPr>
  <dimension ref="A1:E13"/>
  <sheetViews>
    <sheetView showGridLines="0" zoomScale="60" zoomScaleNormal="60" workbookViewId="0">
      <selection activeCell="H4" sqref="H4"/>
    </sheetView>
  </sheetViews>
  <sheetFormatPr defaultRowHeight="15" x14ac:dyDescent="0.25"/>
  <cols>
    <col min="1" max="1" width="33.85546875" style="27" bestFit="1" customWidth="1"/>
    <col min="2" max="2" width="109.42578125" style="27" customWidth="1"/>
    <col min="3" max="3" width="15.42578125" style="27" customWidth="1"/>
    <col min="4" max="4" width="32" style="27" bestFit="1" customWidth="1"/>
    <col min="5" max="5" width="22" style="27" customWidth="1"/>
    <col min="6" max="6" width="9.140625" style="27" customWidth="1"/>
    <col min="7" max="16384" width="9.140625" style="27"/>
  </cols>
  <sheetData>
    <row r="1" spans="1:5" ht="24" thickBot="1" x14ac:dyDescent="0.4">
      <c r="A1" s="23" t="s">
        <v>48</v>
      </c>
      <c r="B1" s="23" t="s">
        <v>49</v>
      </c>
      <c r="C1" s="23" t="s">
        <v>50</v>
      </c>
      <c r="D1" s="23" t="s">
        <v>51</v>
      </c>
      <c r="E1" s="23" t="s">
        <v>52</v>
      </c>
    </row>
    <row r="2" spans="1:5" s="38" customFormat="1" ht="93" x14ac:dyDescent="0.25">
      <c r="A2" s="35" t="s">
        <v>53</v>
      </c>
      <c r="B2" s="36" t="s">
        <v>54</v>
      </c>
      <c r="C2" s="35">
        <v>10</v>
      </c>
      <c r="D2" s="35">
        <v>2306.9</v>
      </c>
      <c r="E2" s="37">
        <f>(D2/$D$11)*100</f>
        <v>49.563853557923672</v>
      </c>
    </row>
    <row r="3" spans="1:5" ht="23.25" x14ac:dyDescent="0.35">
      <c r="A3" s="39" t="s">
        <v>55</v>
      </c>
      <c r="B3" s="39" t="s">
        <v>21</v>
      </c>
      <c r="C3" s="39">
        <v>10</v>
      </c>
      <c r="D3" s="39">
        <v>182.8</v>
      </c>
      <c r="E3" s="37">
        <f t="shared" ref="E3:E10" si="0">(D3/$D$11)*100</f>
        <v>3.9274664833276032</v>
      </c>
    </row>
    <row r="4" spans="1:5" ht="23.25" x14ac:dyDescent="0.35">
      <c r="A4" s="39" t="s">
        <v>56</v>
      </c>
      <c r="B4" s="39" t="s">
        <v>24</v>
      </c>
      <c r="C4" s="39">
        <v>10</v>
      </c>
      <c r="D4" s="39">
        <v>164.8</v>
      </c>
      <c r="E4" s="37">
        <f t="shared" si="0"/>
        <v>3.5407356479889991</v>
      </c>
    </row>
    <row r="5" spans="1:5" ht="23.25" x14ac:dyDescent="0.35">
      <c r="A5" s="39" t="s">
        <v>57</v>
      </c>
      <c r="B5" s="39" t="s">
        <v>58</v>
      </c>
      <c r="C5" s="39">
        <v>10</v>
      </c>
      <c r="D5" s="39">
        <v>553.20000000000005</v>
      </c>
      <c r="E5" s="37">
        <f t="shared" si="0"/>
        <v>11.885527672739771</v>
      </c>
    </row>
    <row r="6" spans="1:5" ht="23.25" x14ac:dyDescent="0.35">
      <c r="A6" s="39" t="s">
        <v>20</v>
      </c>
      <c r="B6" s="39" t="s">
        <v>59</v>
      </c>
      <c r="C6" s="39">
        <v>10</v>
      </c>
      <c r="D6" s="39">
        <v>350.8</v>
      </c>
      <c r="E6" s="37">
        <f t="shared" si="0"/>
        <v>7.5369542798212423</v>
      </c>
    </row>
    <row r="7" spans="1:5" ht="23.25" x14ac:dyDescent="0.35">
      <c r="A7" s="39" t="s">
        <v>23</v>
      </c>
      <c r="B7" s="39" t="s">
        <v>60</v>
      </c>
      <c r="C7" s="39">
        <v>10</v>
      </c>
      <c r="D7" s="39">
        <v>370.9</v>
      </c>
      <c r="E7" s="37">
        <f t="shared" si="0"/>
        <v>7.9688037126160172</v>
      </c>
    </row>
    <row r="8" spans="1:5" ht="23.25" x14ac:dyDescent="0.35">
      <c r="A8" s="39" t="s">
        <v>61</v>
      </c>
      <c r="B8" s="39" t="s">
        <v>16</v>
      </c>
      <c r="C8" s="39">
        <v>10</v>
      </c>
      <c r="D8" s="39">
        <v>201</v>
      </c>
      <c r="E8" s="37">
        <f t="shared" si="0"/>
        <v>4.3184943279477475</v>
      </c>
    </row>
    <row r="9" spans="1:5" ht="23.25" x14ac:dyDescent="0.35">
      <c r="A9" s="39" t="s">
        <v>26</v>
      </c>
      <c r="B9" s="39" t="s">
        <v>26</v>
      </c>
      <c r="C9" s="39">
        <v>10</v>
      </c>
      <c r="D9" s="39">
        <v>177.1</v>
      </c>
      <c r="E9" s="37">
        <f t="shared" si="0"/>
        <v>3.8050017188037111</v>
      </c>
    </row>
    <row r="10" spans="1:5" ht="24" thickBot="1" x14ac:dyDescent="0.4">
      <c r="A10" s="39" t="s">
        <v>28</v>
      </c>
      <c r="B10" s="39" t="s">
        <v>62</v>
      </c>
      <c r="C10" s="39">
        <v>10</v>
      </c>
      <c r="D10" s="39">
        <v>346.9</v>
      </c>
      <c r="E10" s="37">
        <f t="shared" si="0"/>
        <v>7.4531625988312102</v>
      </c>
    </row>
    <row r="11" spans="1:5" ht="24" thickBot="1" x14ac:dyDescent="0.4">
      <c r="A11" s="40"/>
      <c r="B11" s="40"/>
      <c r="C11" s="40"/>
      <c r="D11" s="41">
        <f>SUM(D2:D10)</f>
        <v>4654.4000000000015</v>
      </c>
      <c r="E11" s="42">
        <f>SUM(E2:E10)</f>
        <v>99.999999999999986</v>
      </c>
    </row>
    <row r="12" spans="1:5" x14ac:dyDescent="0.25">
      <c r="E12" s="43"/>
    </row>
    <row r="13" spans="1:5" ht="26.25" x14ac:dyDescent="0.4">
      <c r="A13" s="66" t="s">
        <v>63</v>
      </c>
      <c r="B13" s="66"/>
      <c r="C13" s="66"/>
      <c r="E13" s="43"/>
    </row>
  </sheetData>
  <mergeCells count="1">
    <mergeCell ref="A13:C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6F8F-1DCB-4936-BFB5-FDA35291C2E1}">
  <sheetPr>
    <tabColor theme="9" tint="0.39997558519241921"/>
  </sheetPr>
  <dimension ref="A1:O25"/>
  <sheetViews>
    <sheetView showGridLines="0" zoomScale="90" zoomScaleNormal="90" workbookViewId="0">
      <selection activeCell="I33" sqref="I33"/>
    </sheetView>
  </sheetViews>
  <sheetFormatPr defaultRowHeight="15" x14ac:dyDescent="0.25"/>
  <cols>
    <col min="1" max="2" width="9.140625" style="27"/>
    <col min="3" max="3" width="13.5703125" style="27" bestFit="1" customWidth="1"/>
    <col min="4" max="7" width="9.140625" style="27"/>
    <col min="8" max="8" width="20.42578125" style="27" bestFit="1" customWidth="1"/>
    <col min="9" max="16384" width="9.140625" style="27"/>
  </cols>
  <sheetData>
    <row r="1" spans="1:15" ht="15.75" thickBot="1" x14ac:dyDescent="0.3">
      <c r="A1" s="21" t="s">
        <v>1</v>
      </c>
      <c r="B1" s="21" t="s">
        <v>2</v>
      </c>
      <c r="C1" s="21" t="s">
        <v>64</v>
      </c>
      <c r="D1" s="22" t="s">
        <v>65</v>
      </c>
      <c r="H1" s="26"/>
      <c r="I1" s="26"/>
      <c r="J1" s="26"/>
      <c r="K1" s="26"/>
      <c r="L1" s="26"/>
      <c r="M1" s="26"/>
      <c r="N1" s="26"/>
      <c r="O1" s="26"/>
    </row>
    <row r="2" spans="1:15" x14ac:dyDescent="0.25">
      <c r="A2" s="44">
        <v>2017</v>
      </c>
      <c r="B2" s="44" t="s">
        <v>36</v>
      </c>
      <c r="C2" s="44">
        <v>130.9</v>
      </c>
      <c r="D2" s="45" t="s">
        <v>47</v>
      </c>
      <c r="J2" s="46"/>
      <c r="K2" s="46"/>
      <c r="L2" s="46"/>
      <c r="M2" s="46"/>
      <c r="N2" s="46"/>
      <c r="O2" s="46"/>
    </row>
    <row r="3" spans="1:15" x14ac:dyDescent="0.25">
      <c r="A3" s="44">
        <v>2018</v>
      </c>
      <c r="B3" s="44" t="s">
        <v>36</v>
      </c>
      <c r="C3" s="44">
        <v>136.5</v>
      </c>
      <c r="D3" s="47">
        <f>(C3-C2)/C2*100</f>
        <v>4.2780748663101562</v>
      </c>
    </row>
    <row r="4" spans="1:15" x14ac:dyDescent="0.25">
      <c r="A4" s="44">
        <v>2019</v>
      </c>
      <c r="B4" s="44" t="s">
        <v>36</v>
      </c>
      <c r="C4" s="44">
        <v>140.4</v>
      </c>
      <c r="D4" s="47">
        <f>(C4-C3)/C3*100</f>
        <v>2.8571428571428612</v>
      </c>
    </row>
    <row r="5" spans="1:15" x14ac:dyDescent="0.25">
      <c r="A5" s="44">
        <v>2020</v>
      </c>
      <c r="B5" s="44" t="s">
        <v>36</v>
      </c>
      <c r="C5" s="44">
        <v>148.6</v>
      </c>
      <c r="D5" s="47">
        <f t="shared" ref="D5:D8" si="0">(C5-C4)/C4*100</f>
        <v>5.8404558404558315</v>
      </c>
    </row>
    <row r="6" spans="1:15" x14ac:dyDescent="0.25">
      <c r="A6" s="44">
        <v>2021</v>
      </c>
      <c r="B6" s="44" t="s">
        <v>36</v>
      </c>
      <c r="C6" s="44">
        <v>156.80000000000001</v>
      </c>
      <c r="D6" s="47">
        <f t="shared" si="0"/>
        <v>5.5181695827725559</v>
      </c>
      <c r="M6" s="46"/>
    </row>
    <row r="7" spans="1:15" x14ac:dyDescent="0.25">
      <c r="A7" s="44">
        <v>2022</v>
      </c>
      <c r="B7" s="44" t="s">
        <v>36</v>
      </c>
      <c r="C7" s="44">
        <v>167.7</v>
      </c>
      <c r="D7" s="47">
        <f t="shared" si="0"/>
        <v>6.9515306122448823</v>
      </c>
    </row>
    <row r="8" spans="1:15" ht="15.75" thickBot="1" x14ac:dyDescent="0.3">
      <c r="A8" s="48">
        <v>2023</v>
      </c>
      <c r="B8" s="48" t="s">
        <v>36</v>
      </c>
      <c r="C8" s="48">
        <v>177.2</v>
      </c>
      <c r="D8" s="49">
        <f t="shared" si="0"/>
        <v>5.6648777579010146</v>
      </c>
    </row>
    <row r="9" spans="1:15" x14ac:dyDescent="0.25">
      <c r="C9" s="46"/>
      <c r="D9" s="50"/>
    </row>
    <row r="10" spans="1:15" x14ac:dyDescent="0.25">
      <c r="A10" s="26"/>
      <c r="B10" s="26"/>
      <c r="C10" s="51"/>
      <c r="D10" s="52"/>
      <c r="N10" s="46"/>
    </row>
    <row r="11" spans="1:15" x14ac:dyDescent="0.25">
      <c r="C11" s="46"/>
      <c r="I11" s="51"/>
      <c r="J11" s="51"/>
      <c r="K11" s="51"/>
      <c r="L11" s="51"/>
      <c r="M11" s="51"/>
      <c r="N11" s="51"/>
      <c r="O11" s="51"/>
    </row>
    <row r="12" spans="1:15" x14ac:dyDescent="0.25">
      <c r="C12" s="46"/>
      <c r="D12" s="50"/>
    </row>
    <row r="13" spans="1:15" x14ac:dyDescent="0.25">
      <c r="C13" s="46"/>
      <c r="D13" s="50"/>
    </row>
    <row r="14" spans="1:15" x14ac:dyDescent="0.25">
      <c r="C14" s="46"/>
      <c r="D14" s="50"/>
    </row>
    <row r="15" spans="1:15" x14ac:dyDescent="0.25">
      <c r="C15" s="46"/>
      <c r="D15" s="50"/>
    </row>
    <row r="16" spans="1:15" x14ac:dyDescent="0.25">
      <c r="C16" s="46"/>
      <c r="D16" s="50"/>
    </row>
    <row r="17" spans="3:4" x14ac:dyDescent="0.25">
      <c r="C17" s="46"/>
      <c r="D17" s="50"/>
    </row>
    <row r="20" spans="3:4" x14ac:dyDescent="0.25">
      <c r="D20" s="50"/>
    </row>
    <row r="21" spans="3:4" x14ac:dyDescent="0.25">
      <c r="D21" s="50"/>
    </row>
    <row r="22" spans="3:4" x14ac:dyDescent="0.25">
      <c r="C22" s="46"/>
      <c r="D22" s="50"/>
    </row>
    <row r="23" spans="3:4" x14ac:dyDescent="0.25">
      <c r="D23" s="50"/>
    </row>
    <row r="24" spans="3:4" x14ac:dyDescent="0.25">
      <c r="D24" s="50"/>
    </row>
    <row r="25" spans="3:4" x14ac:dyDescent="0.25">
      <c r="D25" s="5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922B-0429-45FE-B5B3-20E87B315FAF}">
  <sheetPr>
    <tabColor theme="5" tint="0.39997558519241921"/>
  </sheetPr>
  <dimension ref="A1:Q17"/>
  <sheetViews>
    <sheetView showGridLines="0" zoomScale="80" zoomScaleNormal="80" workbookViewId="0">
      <selection activeCell="S30" sqref="S30"/>
    </sheetView>
  </sheetViews>
  <sheetFormatPr defaultRowHeight="15" x14ac:dyDescent="0.25"/>
  <cols>
    <col min="1" max="1" width="9.140625" style="27"/>
    <col min="2" max="3" width="13.7109375" style="27" bestFit="1" customWidth="1"/>
    <col min="4" max="4" width="14.7109375" style="27" bestFit="1" customWidth="1"/>
    <col min="5" max="5" width="13.7109375" style="27" customWidth="1"/>
    <col min="6" max="6" width="9.140625" style="27"/>
    <col min="7" max="7" width="33.28515625" style="27" bestFit="1" customWidth="1"/>
    <col min="8" max="8" width="8.5703125" style="27" customWidth="1"/>
    <col min="9" max="9" width="9.140625" style="27"/>
    <col min="10" max="10" width="16.140625" style="27" bestFit="1" customWidth="1"/>
    <col min="11" max="13" width="9.140625" style="27"/>
    <col min="14" max="14" width="30.85546875" style="27" customWidth="1"/>
    <col min="15" max="16" width="9.140625" style="27"/>
    <col min="17" max="17" width="16.140625" style="27" bestFit="1" customWidth="1"/>
    <col min="18" max="16384" width="9.140625" style="27"/>
  </cols>
  <sheetData>
    <row r="1" spans="1:14" ht="15.75" thickBot="1" x14ac:dyDescent="0.3">
      <c r="A1" s="18" t="s">
        <v>1</v>
      </c>
      <c r="B1" s="18" t="s">
        <v>2</v>
      </c>
      <c r="C1" s="18" t="s">
        <v>53</v>
      </c>
      <c r="D1" s="19" t="s">
        <v>66</v>
      </c>
      <c r="E1" s="26"/>
      <c r="F1" s="26"/>
      <c r="G1" s="18" t="s">
        <v>67</v>
      </c>
      <c r="H1" s="20">
        <v>44713</v>
      </c>
      <c r="I1" s="20">
        <v>45047</v>
      </c>
      <c r="J1" s="19" t="s">
        <v>68</v>
      </c>
    </row>
    <row r="2" spans="1:14" x14ac:dyDescent="0.25">
      <c r="A2" s="44">
        <v>2022</v>
      </c>
      <c r="B2" s="53">
        <v>44713</v>
      </c>
      <c r="C2" s="54">
        <v>173.99</v>
      </c>
      <c r="D2" s="55"/>
      <c r="E2" s="46"/>
      <c r="G2" s="44" t="s">
        <v>12</v>
      </c>
      <c r="H2" s="44">
        <v>187.1</v>
      </c>
      <c r="I2" s="44">
        <v>218</v>
      </c>
      <c r="J2" s="47">
        <f t="shared" ref="J2:J14" si="0">I2-H2</f>
        <v>30.900000000000006</v>
      </c>
    </row>
    <row r="3" spans="1:14" x14ac:dyDescent="0.25">
      <c r="A3" s="44">
        <v>2022</v>
      </c>
      <c r="B3" s="53">
        <v>44743</v>
      </c>
      <c r="C3" s="54">
        <v>174.33</v>
      </c>
      <c r="D3" s="56">
        <f>(C3-C2)/C2*100</f>
        <v>0.19541352951319238</v>
      </c>
      <c r="E3" s="46"/>
      <c r="F3" s="50"/>
      <c r="G3" s="44" t="s">
        <v>3</v>
      </c>
      <c r="H3" s="44">
        <v>155</v>
      </c>
      <c r="I3" s="44">
        <v>173.7</v>
      </c>
      <c r="J3" s="47">
        <f t="shared" si="0"/>
        <v>18.699999999999989</v>
      </c>
    </row>
    <row r="4" spans="1:14" ht="21" x14ac:dyDescent="0.35">
      <c r="A4" s="44">
        <v>2022</v>
      </c>
      <c r="B4" s="53">
        <v>44774</v>
      </c>
      <c r="C4" s="54">
        <v>174.55</v>
      </c>
      <c r="D4" s="56">
        <f t="shared" ref="D4:D13" si="1">(C4-C3)/C3*100</f>
        <v>0.12619744163368257</v>
      </c>
      <c r="E4" s="46"/>
      <c r="F4" s="50"/>
      <c r="G4" s="44" t="s">
        <v>6</v>
      </c>
      <c r="H4" s="44">
        <v>165.8</v>
      </c>
      <c r="I4" s="44">
        <v>179.5</v>
      </c>
      <c r="J4" s="47">
        <f t="shared" si="0"/>
        <v>13.699999999999989</v>
      </c>
      <c r="L4" s="67" t="s">
        <v>81</v>
      </c>
      <c r="M4" s="67"/>
      <c r="N4" s="67"/>
    </row>
    <row r="5" spans="1:14" x14ac:dyDescent="0.25">
      <c r="A5" s="44">
        <v>2022</v>
      </c>
      <c r="B5" s="53">
        <v>44805</v>
      </c>
      <c r="C5" s="54">
        <v>174.45</v>
      </c>
      <c r="D5" s="56">
        <f t="shared" si="1"/>
        <v>-5.7290174735045961E-2</v>
      </c>
      <c r="E5" s="46"/>
      <c r="F5" s="50"/>
      <c r="G5" s="44" t="s">
        <v>10</v>
      </c>
      <c r="H5" s="44">
        <v>164.3</v>
      </c>
      <c r="I5" s="44">
        <v>175.6</v>
      </c>
      <c r="J5" s="47">
        <f t="shared" si="0"/>
        <v>11.299999999999983</v>
      </c>
    </row>
    <row r="6" spans="1:14" x14ac:dyDescent="0.25">
      <c r="A6" s="44">
        <v>2022</v>
      </c>
      <c r="B6" s="53">
        <v>44835</v>
      </c>
      <c r="C6" s="54">
        <v>176.72</v>
      </c>
      <c r="D6" s="56">
        <f t="shared" si="1"/>
        <v>1.3012324448266037</v>
      </c>
      <c r="E6" s="46"/>
      <c r="F6" s="50"/>
      <c r="G6" s="44" t="s">
        <v>14</v>
      </c>
      <c r="H6" s="44">
        <v>183.9</v>
      </c>
      <c r="I6" s="44">
        <v>194.2</v>
      </c>
      <c r="J6" s="47">
        <f t="shared" si="0"/>
        <v>10.299999999999983</v>
      </c>
    </row>
    <row r="7" spans="1:14" x14ac:dyDescent="0.25">
      <c r="A7" s="44">
        <v>2022</v>
      </c>
      <c r="B7" s="53">
        <v>44866</v>
      </c>
      <c r="C7" s="54">
        <v>176.68</v>
      </c>
      <c r="D7" s="56">
        <f t="shared" si="1"/>
        <v>-2.2634676324124064E-2</v>
      </c>
      <c r="E7" s="46"/>
      <c r="F7" s="50"/>
      <c r="G7" s="44" t="s">
        <v>13</v>
      </c>
      <c r="H7" s="44">
        <v>167.9</v>
      </c>
      <c r="I7" s="44">
        <v>173.4</v>
      </c>
      <c r="J7" s="47">
        <f t="shared" si="0"/>
        <v>5.5</v>
      </c>
    </row>
    <row r="8" spans="1:14" x14ac:dyDescent="0.25">
      <c r="A8" s="44">
        <v>2022</v>
      </c>
      <c r="B8" s="53">
        <v>44896</v>
      </c>
      <c r="C8" s="54">
        <v>175.65</v>
      </c>
      <c r="D8" s="56">
        <f t="shared" si="1"/>
        <v>-0.58297486982114621</v>
      </c>
      <c r="E8" s="46"/>
      <c r="F8" s="50"/>
      <c r="G8" s="44" t="s">
        <v>15</v>
      </c>
      <c r="H8" s="44">
        <v>174.9</v>
      </c>
      <c r="I8" s="44">
        <v>179.1</v>
      </c>
      <c r="J8" s="47">
        <f t="shared" si="0"/>
        <v>4.1999999999999886</v>
      </c>
    </row>
    <row r="9" spans="1:14" x14ac:dyDescent="0.25">
      <c r="A9" s="44">
        <v>2023</v>
      </c>
      <c r="B9" s="53">
        <v>44927</v>
      </c>
      <c r="C9" s="54">
        <v>176.36</v>
      </c>
      <c r="D9" s="56">
        <f t="shared" si="1"/>
        <v>0.40421292342727466</v>
      </c>
      <c r="E9" s="46"/>
      <c r="F9" s="50"/>
      <c r="G9" s="44" t="s">
        <v>11</v>
      </c>
      <c r="H9" s="44">
        <v>119.9</v>
      </c>
      <c r="I9" s="44">
        <v>122.7</v>
      </c>
      <c r="J9" s="47">
        <f t="shared" si="0"/>
        <v>2.7999999999999972</v>
      </c>
    </row>
    <row r="10" spans="1:14" x14ac:dyDescent="0.25">
      <c r="A10" s="44">
        <v>2023</v>
      </c>
      <c r="B10" s="53">
        <v>44958</v>
      </c>
      <c r="C10" s="54">
        <v>175.32</v>
      </c>
      <c r="D10" s="56">
        <f t="shared" si="1"/>
        <v>-0.58970288047177388</v>
      </c>
      <c r="E10" s="46"/>
      <c r="F10" s="50"/>
      <c r="G10" s="44" t="s">
        <v>8</v>
      </c>
      <c r="H10" s="44">
        <v>169.7</v>
      </c>
      <c r="I10" s="44">
        <v>172.2</v>
      </c>
      <c r="J10" s="47">
        <f t="shared" si="0"/>
        <v>2.5</v>
      </c>
    </row>
    <row r="11" spans="1:14" x14ac:dyDescent="0.25">
      <c r="A11" s="44">
        <v>2023</v>
      </c>
      <c r="B11" s="53">
        <v>44986</v>
      </c>
      <c r="C11" s="54">
        <v>175.35</v>
      </c>
      <c r="D11" s="56">
        <f t="shared" si="1"/>
        <v>1.7111567419576285E-2</v>
      </c>
      <c r="E11" s="46"/>
      <c r="F11" s="50"/>
      <c r="G11" s="44" t="s">
        <v>5</v>
      </c>
      <c r="H11" s="44">
        <v>170.8</v>
      </c>
      <c r="I11" s="44">
        <v>173.2</v>
      </c>
      <c r="J11" s="47">
        <f t="shared" si="0"/>
        <v>2.3999999999999773</v>
      </c>
    </row>
    <row r="12" spans="1:14" x14ac:dyDescent="0.25">
      <c r="A12" s="44">
        <v>2023</v>
      </c>
      <c r="B12" s="53">
        <v>45017</v>
      </c>
      <c r="C12" s="54">
        <v>176.12</v>
      </c>
      <c r="D12" s="56">
        <f t="shared" si="1"/>
        <v>0.43912175648703183</v>
      </c>
      <c r="E12" s="46"/>
      <c r="F12" s="50"/>
      <c r="G12" s="44" t="s">
        <v>4</v>
      </c>
      <c r="H12" s="44">
        <v>219.4</v>
      </c>
      <c r="I12" s="44">
        <v>214.3</v>
      </c>
      <c r="J12" s="47">
        <f t="shared" si="0"/>
        <v>-5.0999999999999943</v>
      </c>
    </row>
    <row r="13" spans="1:14" ht="15.75" thickBot="1" x14ac:dyDescent="0.3">
      <c r="A13" s="48">
        <v>2023</v>
      </c>
      <c r="B13" s="57">
        <v>45047</v>
      </c>
      <c r="C13" s="58">
        <v>177.45</v>
      </c>
      <c r="D13" s="59">
        <f t="shared" si="1"/>
        <v>0.75516693163751081</v>
      </c>
      <c r="E13" s="46"/>
      <c r="F13" s="50"/>
      <c r="G13" s="44" t="s">
        <v>9</v>
      </c>
      <c r="H13" s="44">
        <v>182.3</v>
      </c>
      <c r="I13" s="44">
        <v>161</v>
      </c>
      <c r="J13" s="47">
        <f t="shared" si="0"/>
        <v>-21.300000000000011</v>
      </c>
    </row>
    <row r="14" spans="1:14" ht="15.75" thickBot="1" x14ac:dyDescent="0.3">
      <c r="G14" s="48" t="s">
        <v>7</v>
      </c>
      <c r="H14" s="48">
        <v>200.9</v>
      </c>
      <c r="I14" s="48">
        <v>170</v>
      </c>
      <c r="J14" s="49">
        <f t="shared" si="0"/>
        <v>-30.900000000000006</v>
      </c>
    </row>
    <row r="17" spans="14:17" x14ac:dyDescent="0.25">
      <c r="N17" s="26"/>
      <c r="O17" s="26"/>
      <c r="P17" s="26"/>
      <c r="Q17" s="26"/>
    </row>
  </sheetData>
  <mergeCells count="1">
    <mergeCell ref="L4:N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8B90-327D-4596-AA1A-90048F7E5FD0}">
  <sheetPr>
    <tabColor theme="4" tint="0.39997558519241921"/>
  </sheetPr>
  <dimension ref="A1:N8"/>
  <sheetViews>
    <sheetView showGridLines="0" workbookViewId="0">
      <selection activeCell="G2" sqref="G2"/>
    </sheetView>
  </sheetViews>
  <sheetFormatPr defaultRowHeight="15" x14ac:dyDescent="0.25"/>
  <cols>
    <col min="1" max="1" width="9.140625" style="27"/>
    <col min="2" max="2" width="18.28515625" style="27" customWidth="1"/>
    <col min="3" max="3" width="9.5703125" style="27" customWidth="1"/>
    <col min="4" max="4" width="27.7109375" style="27" customWidth="1"/>
    <col min="5" max="5" width="10.140625" style="27" customWidth="1"/>
    <col min="6" max="6" width="11.5703125" style="27" customWidth="1"/>
    <col min="7" max="10" width="9.140625" style="27"/>
    <col min="11" max="11" width="10.140625" style="27" customWidth="1"/>
    <col min="12" max="12" width="17.28515625" style="27" bestFit="1" customWidth="1"/>
    <col min="13" max="13" width="27" style="27" bestFit="1" customWidth="1"/>
    <col min="14" max="14" width="9.5703125" style="27" customWidth="1"/>
    <col min="15" max="16384" width="9.140625" style="27"/>
  </cols>
  <sheetData>
    <row r="1" spans="1:14" ht="15.75" thickBot="1" x14ac:dyDescent="0.3">
      <c r="A1" s="18" t="s">
        <v>1</v>
      </c>
      <c r="B1" s="18" t="s">
        <v>69</v>
      </c>
      <c r="C1" s="18" t="s">
        <v>71</v>
      </c>
      <c r="D1" s="18" t="s">
        <v>70</v>
      </c>
      <c r="E1" s="18" t="s">
        <v>71</v>
      </c>
      <c r="F1" s="18" t="s">
        <v>23</v>
      </c>
      <c r="G1" s="19" t="s">
        <v>71</v>
      </c>
      <c r="K1" s="18" t="s">
        <v>1</v>
      </c>
      <c r="L1" s="18" t="s">
        <v>69</v>
      </c>
      <c r="M1" s="18" t="s">
        <v>70</v>
      </c>
      <c r="N1" s="19" t="s">
        <v>23</v>
      </c>
    </row>
    <row r="2" spans="1:14" x14ac:dyDescent="0.25">
      <c r="A2" s="44">
        <v>2017</v>
      </c>
      <c r="B2" s="44">
        <v>133.4</v>
      </c>
      <c r="C2" s="44"/>
      <c r="D2" s="44">
        <v>134.1</v>
      </c>
      <c r="E2" s="44"/>
      <c r="F2" s="44">
        <v>130.6</v>
      </c>
      <c r="G2" s="60"/>
      <c r="K2" s="44">
        <v>2018</v>
      </c>
      <c r="L2" s="54">
        <v>3.8980509745127354</v>
      </c>
      <c r="M2" s="54">
        <v>4.3251304996271527</v>
      </c>
      <c r="N2" s="47">
        <v>4.6707503828483876</v>
      </c>
    </row>
    <row r="3" spans="1:14" x14ac:dyDescent="0.25">
      <c r="A3" s="44">
        <v>2018</v>
      </c>
      <c r="B3" s="44">
        <v>138.6</v>
      </c>
      <c r="C3" s="54">
        <f>(B3-B2)/B2*100</f>
        <v>3.8980509745127354</v>
      </c>
      <c r="D3" s="44">
        <v>139.9</v>
      </c>
      <c r="E3" s="54">
        <f>(D3-D2)/D2*100</f>
        <v>4.3251304996271527</v>
      </c>
      <c r="F3" s="44">
        <v>136.69999999999999</v>
      </c>
      <c r="G3" s="47">
        <f>(F3-F2)/F2*100</f>
        <v>4.6707503828483876</v>
      </c>
      <c r="K3" s="44">
        <v>2019</v>
      </c>
      <c r="L3" s="54">
        <v>-0.93795093795092566</v>
      </c>
      <c r="M3" s="54">
        <v>7.2194424588992101</v>
      </c>
      <c r="N3" s="47">
        <v>10.021945866861754</v>
      </c>
    </row>
    <row r="4" spans="1:14" x14ac:dyDescent="0.25">
      <c r="A4" s="44">
        <v>2019</v>
      </c>
      <c r="B4" s="44">
        <v>137.30000000000001</v>
      </c>
      <c r="C4" s="54">
        <f t="shared" ref="C4:E8" si="0">(B4-B3)/B3*100</f>
        <v>-0.93795093795092566</v>
      </c>
      <c r="D4" s="44">
        <v>150</v>
      </c>
      <c r="E4" s="54">
        <f t="shared" si="0"/>
        <v>7.2194424588992101</v>
      </c>
      <c r="F4" s="44">
        <v>150.4</v>
      </c>
      <c r="G4" s="47">
        <f t="shared" ref="G4:G8" si="1">(F4-F3)/F3*100</f>
        <v>10.021945866861754</v>
      </c>
      <c r="K4" s="44">
        <v>2020</v>
      </c>
      <c r="L4" s="54">
        <v>7.9388201019664786</v>
      </c>
      <c r="M4" s="54">
        <v>1</v>
      </c>
      <c r="N4" s="47">
        <v>4.188829787234031</v>
      </c>
    </row>
    <row r="5" spans="1:14" x14ac:dyDescent="0.25">
      <c r="A5" s="44">
        <v>2020</v>
      </c>
      <c r="B5" s="44">
        <v>148.19999999999999</v>
      </c>
      <c r="C5" s="54">
        <f t="shared" si="0"/>
        <v>7.9388201019664786</v>
      </c>
      <c r="D5" s="44">
        <v>151.5</v>
      </c>
      <c r="E5" s="54">
        <f t="shared" si="0"/>
        <v>1</v>
      </c>
      <c r="F5" s="44">
        <v>156.69999999999999</v>
      </c>
      <c r="G5" s="47">
        <f t="shared" si="1"/>
        <v>4.188829787234031</v>
      </c>
      <c r="K5" s="44">
        <v>2021</v>
      </c>
      <c r="L5" s="54">
        <v>4.2510121457489962</v>
      </c>
      <c r="M5" s="54">
        <v>2.1782178217821855</v>
      </c>
      <c r="N5" s="47">
        <v>5.0414805360561621</v>
      </c>
    </row>
    <row r="6" spans="1:14" x14ac:dyDescent="0.25">
      <c r="A6" s="44">
        <v>2021</v>
      </c>
      <c r="B6" s="44">
        <v>154.5</v>
      </c>
      <c r="C6" s="54">
        <f t="shared" si="0"/>
        <v>4.2510121457489962</v>
      </c>
      <c r="D6" s="44">
        <v>154.80000000000001</v>
      </c>
      <c r="E6" s="54">
        <f t="shared" si="0"/>
        <v>2.1782178217821855</v>
      </c>
      <c r="F6" s="44">
        <v>164.6</v>
      </c>
      <c r="G6" s="47">
        <f t="shared" si="1"/>
        <v>5.0414805360561621</v>
      </c>
      <c r="K6" s="44">
        <v>2022</v>
      </c>
      <c r="L6" s="54">
        <v>7.8317152103559824</v>
      </c>
      <c r="M6" s="54">
        <v>7.5581395348837139</v>
      </c>
      <c r="N6" s="47">
        <v>6.9258809234507934</v>
      </c>
    </row>
    <row r="7" spans="1:14" ht="15.75" thickBot="1" x14ac:dyDescent="0.3">
      <c r="A7" s="44">
        <v>2022</v>
      </c>
      <c r="B7" s="44">
        <v>166.6</v>
      </c>
      <c r="C7" s="54">
        <f t="shared" si="0"/>
        <v>7.8317152103559824</v>
      </c>
      <c r="D7" s="44">
        <v>166.5</v>
      </c>
      <c r="E7" s="54">
        <f t="shared" si="0"/>
        <v>7.5581395348837139</v>
      </c>
      <c r="F7" s="44">
        <v>176</v>
      </c>
      <c r="G7" s="47">
        <f t="shared" si="1"/>
        <v>6.9258809234507934</v>
      </c>
      <c r="K7" s="48">
        <v>2023</v>
      </c>
      <c r="L7" s="58">
        <v>4.9219687875150164</v>
      </c>
      <c r="M7" s="58">
        <v>7.2672672672672629</v>
      </c>
      <c r="N7" s="49">
        <v>6.0227272727272689</v>
      </c>
    </row>
    <row r="8" spans="1:14" ht="15.75" thickBot="1" x14ac:dyDescent="0.3">
      <c r="A8" s="48">
        <v>2023</v>
      </c>
      <c r="B8" s="48">
        <v>174.8</v>
      </c>
      <c r="C8" s="58">
        <f t="shared" si="0"/>
        <v>4.9219687875150164</v>
      </c>
      <c r="D8" s="48">
        <v>178.6</v>
      </c>
      <c r="E8" s="58">
        <f t="shared" si="0"/>
        <v>7.2672672672672629</v>
      </c>
      <c r="F8" s="48">
        <v>186.6</v>
      </c>
      <c r="G8" s="49">
        <f t="shared" si="1"/>
        <v>6.0227272727272689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12F4-7C18-489B-A77D-9E12C6C0A23F}">
  <sheetPr>
    <tabColor rgb="FF7030A0"/>
  </sheetPr>
  <dimension ref="A1:N37"/>
  <sheetViews>
    <sheetView zoomScale="90" zoomScaleNormal="90" workbookViewId="0">
      <selection activeCell="N8" sqref="N8"/>
    </sheetView>
  </sheetViews>
  <sheetFormatPr defaultRowHeight="15" x14ac:dyDescent="0.25"/>
  <cols>
    <col min="2" max="2" width="12" customWidth="1"/>
    <col min="3" max="3" width="16.5703125" bestFit="1" customWidth="1"/>
    <col min="6" max="6" width="33.28515625" bestFit="1" customWidth="1"/>
    <col min="7" max="7" width="10.28515625" customWidth="1"/>
    <col min="8" max="8" width="9.28515625" customWidth="1"/>
    <col min="9" max="9" width="10.140625" customWidth="1"/>
    <col min="10" max="10" width="10.7109375" customWidth="1"/>
    <col min="11" max="11" width="9.5703125" customWidth="1"/>
    <col min="12" max="12" width="11.7109375" customWidth="1"/>
    <col min="13" max="13" width="33.28515625" bestFit="1" customWidth="1"/>
    <col min="14" max="14" width="24.5703125" bestFit="1" customWidth="1"/>
    <col min="15" max="15" width="11.85546875" customWidth="1"/>
    <col min="16" max="16" width="12.5703125" customWidth="1"/>
    <col min="17" max="17" width="13.28515625" customWidth="1"/>
    <col min="18" max="18" width="12.140625" customWidth="1"/>
    <col min="19" max="19" width="7.85546875" customWidth="1"/>
    <col min="20" max="20" width="9.140625" customWidth="1"/>
    <col min="21" max="21" width="9.5703125" customWidth="1"/>
    <col min="22" max="22" width="6" customWidth="1"/>
    <col min="23" max="23" width="6" bestFit="1" customWidth="1"/>
    <col min="24" max="24" width="4" bestFit="1" customWidth="1"/>
    <col min="25" max="33" width="6" bestFit="1" customWidth="1"/>
    <col min="34" max="34" width="11.28515625" bestFit="1" customWidth="1"/>
  </cols>
  <sheetData>
    <row r="1" spans="1:14" x14ac:dyDescent="0.25">
      <c r="A1" t="s">
        <v>1</v>
      </c>
      <c r="B1" t="s">
        <v>2</v>
      </c>
      <c r="C1" t="s">
        <v>74</v>
      </c>
    </row>
    <row r="2" spans="1:14" ht="15.75" x14ac:dyDescent="0.25">
      <c r="A2" s="6">
        <v>2021</v>
      </c>
      <c r="B2" s="7" t="s">
        <v>31</v>
      </c>
      <c r="C2" s="8">
        <v>54.794569624999994</v>
      </c>
      <c r="F2" t="s">
        <v>1</v>
      </c>
      <c r="G2" t="s">
        <v>77</v>
      </c>
      <c r="H2" t="s">
        <v>78</v>
      </c>
      <c r="I2" t="s">
        <v>79</v>
      </c>
    </row>
    <row r="3" spans="1:14" ht="15.75" x14ac:dyDescent="0.25">
      <c r="A3" s="9">
        <v>2021</v>
      </c>
      <c r="B3" s="10" t="s">
        <v>35</v>
      </c>
      <c r="C3" s="11">
        <v>61.216117289473672</v>
      </c>
      <c r="F3" t="s">
        <v>76</v>
      </c>
      <c r="G3">
        <v>69.63</v>
      </c>
      <c r="H3">
        <v>97.59</v>
      </c>
      <c r="I3">
        <v>82.22</v>
      </c>
    </row>
    <row r="4" spans="1:14" ht="16.5" thickBot="1" x14ac:dyDescent="0.3">
      <c r="A4" s="6">
        <v>2021</v>
      </c>
      <c r="B4" s="7" t="s">
        <v>36</v>
      </c>
      <c r="C4" s="8">
        <v>64.729496782608663</v>
      </c>
    </row>
    <row r="5" spans="1:14" ht="16.5" thickBot="1" x14ac:dyDescent="0.3">
      <c r="A5" s="9">
        <v>2021</v>
      </c>
      <c r="B5" s="10" t="s">
        <v>37</v>
      </c>
      <c r="C5" s="11">
        <v>63.396976500000008</v>
      </c>
      <c r="M5" s="24" t="s">
        <v>49</v>
      </c>
      <c r="N5" s="25" t="s">
        <v>80</v>
      </c>
    </row>
    <row r="6" spans="1:14" ht="15.75" x14ac:dyDescent="0.25">
      <c r="A6" s="6">
        <v>2021</v>
      </c>
      <c r="B6" s="7" t="s">
        <v>38</v>
      </c>
      <c r="C6" s="8">
        <v>66.953084852941174</v>
      </c>
      <c r="F6" s="15" t="s">
        <v>72</v>
      </c>
      <c r="G6" s="15" t="s">
        <v>77</v>
      </c>
      <c r="H6" s="15" t="s">
        <v>78</v>
      </c>
      <c r="I6" s="15" t="s">
        <v>79</v>
      </c>
      <c r="J6" s="15" t="s">
        <v>73</v>
      </c>
      <c r="M6" s="3" t="s">
        <v>3</v>
      </c>
      <c r="N6" s="16">
        <f t="shared" ref="N6:N31" si="0">CORREL($G$3:$I$3,$G7:$I7)</f>
        <v>0.36620627219072222</v>
      </c>
    </row>
    <row r="7" spans="1:14" ht="15.75" x14ac:dyDescent="0.25">
      <c r="A7" s="9">
        <v>2021</v>
      </c>
      <c r="B7" s="10" t="s">
        <v>39</v>
      </c>
      <c r="C7" s="11">
        <v>71.982647477272721</v>
      </c>
      <c r="F7" t="s">
        <v>3</v>
      </c>
      <c r="G7" s="5">
        <v>146.20833333333334</v>
      </c>
      <c r="H7" s="5">
        <v>157.90833333333336</v>
      </c>
      <c r="I7" s="5">
        <v>174.02000000000004</v>
      </c>
      <c r="J7" s="5">
        <v>155.84482758620689</v>
      </c>
      <c r="M7" s="3" t="s">
        <v>4</v>
      </c>
      <c r="N7" s="16">
        <f t="shared" si="0"/>
        <v>0.8243900537108011</v>
      </c>
    </row>
    <row r="8" spans="1:14" ht="15.75" x14ac:dyDescent="0.25">
      <c r="A8" s="6">
        <v>2021</v>
      </c>
      <c r="B8" s="7" t="s">
        <v>40</v>
      </c>
      <c r="C8" s="8">
        <v>73.539060523809511</v>
      </c>
      <c r="F8" t="s">
        <v>4</v>
      </c>
      <c r="G8" s="5">
        <v>199.09166666666667</v>
      </c>
      <c r="H8" s="5">
        <v>209.68333333333337</v>
      </c>
      <c r="I8" s="5">
        <v>209.93999999999997</v>
      </c>
      <c r="J8" s="5">
        <v>205.34482758620686</v>
      </c>
      <c r="M8" s="3" t="s">
        <v>5</v>
      </c>
      <c r="N8" s="16">
        <f t="shared" si="0"/>
        <v>-4.3185092931999737E-3</v>
      </c>
    </row>
    <row r="9" spans="1:14" ht="15.75" x14ac:dyDescent="0.25">
      <c r="A9" s="9">
        <v>2021</v>
      </c>
      <c r="B9" s="10" t="s">
        <v>41</v>
      </c>
      <c r="C9" s="11">
        <v>69.804724424999989</v>
      </c>
      <c r="F9" t="s">
        <v>5</v>
      </c>
      <c r="G9" s="5">
        <v>172.77500000000001</v>
      </c>
      <c r="H9" s="5">
        <v>173.05833333333337</v>
      </c>
      <c r="I9" s="5">
        <v>177.54000000000002</v>
      </c>
      <c r="J9" s="5">
        <v>173.7137931034483</v>
      </c>
      <c r="M9" s="3" t="s">
        <v>6</v>
      </c>
      <c r="N9" s="16">
        <f t="shared" si="0"/>
        <v>0.41938951483288961</v>
      </c>
    </row>
    <row r="10" spans="1:14" ht="15.75" x14ac:dyDescent="0.25">
      <c r="A10" s="6">
        <v>2021</v>
      </c>
      <c r="B10" s="7" t="s">
        <v>42</v>
      </c>
      <c r="C10" s="8">
        <v>73.130738295454549</v>
      </c>
      <c r="F10" t="s">
        <v>6</v>
      </c>
      <c r="G10" s="5">
        <v>156.96666666666667</v>
      </c>
      <c r="H10" s="5">
        <v>166.6</v>
      </c>
      <c r="I10" s="5">
        <v>177.42000000000002</v>
      </c>
      <c r="J10" s="5">
        <v>164.47931034482758</v>
      </c>
      <c r="M10" s="3" t="s">
        <v>7</v>
      </c>
      <c r="N10" s="16">
        <f t="shared" si="0"/>
        <v>0.90431885054075767</v>
      </c>
    </row>
    <row r="11" spans="1:14" ht="15.75" x14ac:dyDescent="0.25">
      <c r="A11" s="9">
        <v>2021</v>
      </c>
      <c r="B11" s="10" t="s">
        <v>43</v>
      </c>
      <c r="C11" s="11">
        <v>82.107393785714294</v>
      </c>
      <c r="F11" t="s">
        <v>7</v>
      </c>
      <c r="G11" s="5">
        <v>177.69999999999996</v>
      </c>
      <c r="H11" s="5">
        <v>192.31666666666669</v>
      </c>
      <c r="I11" s="5">
        <v>178.12</v>
      </c>
      <c r="J11" s="5">
        <v>183.8206896551724</v>
      </c>
      <c r="M11" s="3" t="s">
        <v>8</v>
      </c>
      <c r="N11" s="16">
        <f t="shared" si="0"/>
        <v>0.53349062773672817</v>
      </c>
    </row>
    <row r="12" spans="1:14" ht="15.75" x14ac:dyDescent="0.25">
      <c r="A12" s="6">
        <v>2021</v>
      </c>
      <c r="B12" s="7" t="s">
        <v>45</v>
      </c>
      <c r="C12" s="8">
        <v>80.637301023809528</v>
      </c>
      <c r="F12" t="s">
        <v>8</v>
      </c>
      <c r="G12" s="5">
        <v>157.88333333333335</v>
      </c>
      <c r="H12" s="5">
        <v>164.46666666666667</v>
      </c>
      <c r="I12" s="5">
        <v>169.16</v>
      </c>
      <c r="J12" s="5">
        <v>162.55172413793105</v>
      </c>
      <c r="M12" s="3" t="s">
        <v>9</v>
      </c>
      <c r="N12" s="16">
        <f t="shared" si="0"/>
        <v>0.50312519564695513</v>
      </c>
    </row>
    <row r="13" spans="1:14" ht="15.75" x14ac:dyDescent="0.25">
      <c r="A13" s="9">
        <v>2021</v>
      </c>
      <c r="B13" s="10" t="s">
        <v>46</v>
      </c>
      <c r="C13" s="11">
        <v>73.298823523809531</v>
      </c>
      <c r="F13" t="s">
        <v>9</v>
      </c>
      <c r="G13" s="5">
        <v>167.71666666666667</v>
      </c>
      <c r="H13" s="5">
        <v>178.13333333333333</v>
      </c>
      <c r="I13" s="5">
        <v>155.16000000000003</v>
      </c>
      <c r="J13" s="5">
        <v>169.86206896551721</v>
      </c>
      <c r="M13" s="3" t="s">
        <v>10</v>
      </c>
      <c r="N13" s="16">
        <f t="shared" si="0"/>
        <v>0.28404527144154601</v>
      </c>
    </row>
    <row r="14" spans="1:14" ht="15.75" x14ac:dyDescent="0.25">
      <c r="A14" s="6">
        <v>2022</v>
      </c>
      <c r="B14" s="7" t="s">
        <v>31</v>
      </c>
      <c r="C14" s="8">
        <v>84.666318799999985</v>
      </c>
      <c r="F14" t="s">
        <v>10</v>
      </c>
      <c r="G14" s="5">
        <v>163.26666666666665</v>
      </c>
      <c r="H14" s="5">
        <v>166.40833333333333</v>
      </c>
      <c r="I14" s="5">
        <v>172.4</v>
      </c>
      <c r="J14" s="5">
        <v>166.14137931034483</v>
      </c>
      <c r="M14" s="3" t="s">
        <v>11</v>
      </c>
      <c r="N14" s="16">
        <f t="shared" si="0"/>
        <v>0.74974122022721323</v>
      </c>
    </row>
    <row r="15" spans="1:14" ht="15.75" x14ac:dyDescent="0.25">
      <c r="A15" s="9">
        <v>2022</v>
      </c>
      <c r="B15" s="10" t="s">
        <v>35</v>
      </c>
      <c r="C15" s="11">
        <v>94.067715194444446</v>
      </c>
      <c r="F15" t="s">
        <v>11</v>
      </c>
      <c r="G15" s="5">
        <v>116.85000000000002</v>
      </c>
      <c r="H15" s="5">
        <v>120.38333333333333</v>
      </c>
      <c r="I15" s="5">
        <v>121.02000000000001</v>
      </c>
      <c r="J15" s="5">
        <v>119.03103448275864</v>
      </c>
      <c r="M15" s="3" t="s">
        <v>12</v>
      </c>
      <c r="N15" s="16">
        <f t="shared" si="0"/>
        <v>0.43334455985278558</v>
      </c>
    </row>
    <row r="16" spans="1:14" ht="15.75" x14ac:dyDescent="0.25">
      <c r="A16" s="6">
        <v>2022</v>
      </c>
      <c r="B16" s="7" t="s">
        <v>36</v>
      </c>
      <c r="C16" s="8">
        <v>112.87479254347826</v>
      </c>
      <c r="F16" t="s">
        <v>12</v>
      </c>
      <c r="G16" s="5">
        <v>167.29999999999998</v>
      </c>
      <c r="H16" s="5">
        <v>188.82499999999996</v>
      </c>
      <c r="I16" s="5">
        <v>211.73999999999995</v>
      </c>
      <c r="J16" s="5">
        <v>183.86896551724138</v>
      </c>
      <c r="M16" s="3" t="s">
        <v>13</v>
      </c>
      <c r="N16" s="16">
        <f t="shared" si="0"/>
        <v>0.57659096353761674</v>
      </c>
    </row>
    <row r="17" spans="1:14" ht="15.75" x14ac:dyDescent="0.25">
      <c r="A17" s="9">
        <v>2022</v>
      </c>
      <c r="B17" s="10" t="s">
        <v>37</v>
      </c>
      <c r="C17" s="11">
        <v>102.96599786842103</v>
      </c>
      <c r="F17" t="s">
        <v>13</v>
      </c>
      <c r="G17" s="5">
        <v>159.8416666666667</v>
      </c>
      <c r="H17" s="5">
        <v>167.78333333333336</v>
      </c>
      <c r="I17" s="5">
        <v>172.45999999999998</v>
      </c>
      <c r="J17" s="5">
        <v>165.30344827586208</v>
      </c>
      <c r="M17" s="3" t="s">
        <v>14</v>
      </c>
      <c r="N17" s="16">
        <f t="shared" si="0"/>
        <v>0.53240109846432293</v>
      </c>
    </row>
    <row r="18" spans="1:14" ht="15.75" x14ac:dyDescent="0.25">
      <c r="A18" s="6">
        <v>2022</v>
      </c>
      <c r="B18" s="7" t="s">
        <v>38</v>
      </c>
      <c r="C18" s="8">
        <v>109.50503773684208</v>
      </c>
      <c r="F18" t="s">
        <v>14</v>
      </c>
      <c r="G18" s="5">
        <v>171.64166666666668</v>
      </c>
      <c r="H18" s="5">
        <v>184.07500000000002</v>
      </c>
      <c r="I18" s="5">
        <v>192.98000000000002</v>
      </c>
      <c r="J18" s="5">
        <v>180.46551724137933</v>
      </c>
      <c r="M18" s="3" t="s">
        <v>15</v>
      </c>
      <c r="N18" s="16">
        <f t="shared" si="0"/>
        <v>0.66470003898473196</v>
      </c>
    </row>
    <row r="19" spans="1:14" ht="15.75" x14ac:dyDescent="0.25">
      <c r="A19" s="9">
        <v>2022</v>
      </c>
      <c r="B19" s="10" t="s">
        <v>39</v>
      </c>
      <c r="C19" s="11">
        <v>116.01138504999999</v>
      </c>
      <c r="F19" t="s">
        <v>15</v>
      </c>
      <c r="G19" s="5">
        <v>162.79166666666669</v>
      </c>
      <c r="H19" s="5">
        <v>173.57499999999996</v>
      </c>
      <c r="I19" s="5">
        <v>177.54000000000002</v>
      </c>
      <c r="J19" s="5">
        <v>169.79655172413797</v>
      </c>
      <c r="M19" s="3" t="s">
        <v>17</v>
      </c>
      <c r="N19" s="16">
        <f t="shared" si="0"/>
        <v>0.57262364166369439</v>
      </c>
    </row>
    <row r="20" spans="1:14" ht="15.75" x14ac:dyDescent="0.25">
      <c r="A20" s="6">
        <v>2022</v>
      </c>
      <c r="B20" s="7" t="s">
        <v>40</v>
      </c>
      <c r="C20" s="8">
        <v>105.49124737500001</v>
      </c>
      <c r="F20" t="s">
        <v>17</v>
      </c>
      <c r="G20" s="5">
        <v>162.21666666666667</v>
      </c>
      <c r="H20" s="5">
        <v>177.25833333333335</v>
      </c>
      <c r="I20" s="5">
        <v>186.28000000000003</v>
      </c>
      <c r="J20" s="5">
        <v>172.58965517241381</v>
      </c>
      <c r="M20" s="3" t="s">
        <v>18</v>
      </c>
      <c r="N20" s="16">
        <f t="shared" si="0"/>
        <v>0.60771528355902471</v>
      </c>
    </row>
    <row r="21" spans="1:14" ht="15.75" x14ac:dyDescent="0.25">
      <c r="A21" s="9">
        <v>2022</v>
      </c>
      <c r="B21" s="10" t="s">
        <v>41</v>
      </c>
      <c r="C21" s="11">
        <v>97.404465428571427</v>
      </c>
      <c r="F21" t="s">
        <v>18</v>
      </c>
      <c r="G21" s="5">
        <v>152.49166666666665</v>
      </c>
      <c r="H21" s="5">
        <v>169.94166666666666</v>
      </c>
      <c r="I21" s="5">
        <v>178.78000000000003</v>
      </c>
      <c r="J21" s="5">
        <v>164.24482758620687</v>
      </c>
      <c r="M21" s="3" t="s">
        <v>19</v>
      </c>
      <c r="N21" s="16">
        <f t="shared" si="0"/>
        <v>0.57846959186261304</v>
      </c>
    </row>
    <row r="22" spans="1:14" ht="15.75" x14ac:dyDescent="0.25">
      <c r="A22" s="6">
        <v>2022</v>
      </c>
      <c r="B22" s="7" t="s">
        <v>42</v>
      </c>
      <c r="C22" s="8">
        <v>90.706344809523813</v>
      </c>
      <c r="F22" t="s">
        <v>19</v>
      </c>
      <c r="G22" s="5">
        <v>160.81666666666666</v>
      </c>
      <c r="H22" s="5">
        <v>176.19999999999996</v>
      </c>
      <c r="I22" s="5">
        <v>185.18</v>
      </c>
      <c r="J22" s="5">
        <v>171.38275862068966</v>
      </c>
      <c r="M22" s="3" t="s">
        <v>21</v>
      </c>
      <c r="N22" s="16">
        <f t="shared" si="0"/>
        <v>0.6370303196002749</v>
      </c>
    </row>
    <row r="23" spans="1:14" ht="15.75" x14ac:dyDescent="0.25">
      <c r="A23" s="9">
        <v>2022</v>
      </c>
      <c r="B23" s="10" t="s">
        <v>43</v>
      </c>
      <c r="C23" s="11">
        <v>91.698948700000003</v>
      </c>
      <c r="F23" t="s">
        <v>21</v>
      </c>
      <c r="G23" s="5">
        <v>159.05833333333331</v>
      </c>
      <c r="H23" s="5">
        <v>175.13333333333333</v>
      </c>
      <c r="I23" s="5">
        <v>182.1</v>
      </c>
      <c r="J23" s="5">
        <v>169.68275862068964</v>
      </c>
      <c r="M23" s="3" t="s">
        <v>75</v>
      </c>
      <c r="N23" s="16">
        <f t="shared" si="0"/>
        <v>0.475614794223162</v>
      </c>
    </row>
    <row r="24" spans="1:14" ht="15.75" x14ac:dyDescent="0.25">
      <c r="A24" s="6">
        <v>2022</v>
      </c>
      <c r="B24" s="7" t="s">
        <v>45</v>
      </c>
      <c r="C24" s="8">
        <v>87.552266068181822</v>
      </c>
      <c r="F24" t="s">
        <v>75</v>
      </c>
      <c r="G24" s="5">
        <v>161.48333333333332</v>
      </c>
      <c r="H24" s="5">
        <v>168.04999999999998</v>
      </c>
      <c r="I24" s="5">
        <v>173.98</v>
      </c>
      <c r="J24" s="5">
        <v>166.3551724137931</v>
      </c>
      <c r="M24" s="3" t="s">
        <v>22</v>
      </c>
      <c r="N24" s="16">
        <f t="shared" si="0"/>
        <v>0.5547589547140257</v>
      </c>
    </row>
    <row r="25" spans="1:14" ht="15.75" x14ac:dyDescent="0.25">
      <c r="A25" s="9">
        <v>2022</v>
      </c>
      <c r="B25" s="10" t="s">
        <v>46</v>
      </c>
      <c r="C25" s="11">
        <v>78.100942275000008</v>
      </c>
      <c r="F25" t="s">
        <v>22</v>
      </c>
      <c r="G25" s="5">
        <v>155.17499999999998</v>
      </c>
      <c r="H25" s="5">
        <v>166.71666666666667</v>
      </c>
      <c r="I25" s="5">
        <v>174.21999999999997</v>
      </c>
      <c r="J25" s="5">
        <v>163.23448275862069</v>
      </c>
      <c r="M25" s="3" t="s">
        <v>23</v>
      </c>
      <c r="N25" s="16">
        <f t="shared" si="0"/>
        <v>0.49479799216822373</v>
      </c>
    </row>
    <row r="26" spans="1:14" ht="15.75" x14ac:dyDescent="0.25">
      <c r="A26" s="6">
        <v>2023</v>
      </c>
      <c r="B26" s="7" t="s">
        <v>31</v>
      </c>
      <c r="C26" s="8">
        <v>80.922269684210534</v>
      </c>
      <c r="F26" t="s">
        <v>23</v>
      </c>
      <c r="G26" s="5">
        <v>165.84166666666667</v>
      </c>
      <c r="H26" s="5">
        <v>175.92499999999998</v>
      </c>
      <c r="I26" s="5">
        <v>184.35999999999999</v>
      </c>
      <c r="J26" s="5">
        <v>173.20689655172413</v>
      </c>
      <c r="M26" s="3" t="s">
        <v>24</v>
      </c>
      <c r="N26" s="16">
        <f t="shared" si="0"/>
        <v>0.69410330696825495</v>
      </c>
    </row>
    <row r="27" spans="1:14" ht="15.75" x14ac:dyDescent="0.25">
      <c r="A27" s="9">
        <v>2023</v>
      </c>
      <c r="B27" s="10" t="s">
        <v>35</v>
      </c>
      <c r="C27" s="11">
        <v>82.278706675000009</v>
      </c>
      <c r="F27" t="s">
        <v>24</v>
      </c>
      <c r="G27" s="5">
        <v>150.55833333333331</v>
      </c>
      <c r="H27" s="5">
        <v>161.09166666666667</v>
      </c>
      <c r="I27" s="5">
        <v>164.26</v>
      </c>
      <c r="J27" s="5">
        <v>157.27931034482759</v>
      </c>
      <c r="M27" s="3" t="s">
        <v>26</v>
      </c>
      <c r="N27" s="16">
        <f t="shared" si="0"/>
        <v>0.52337223505903296</v>
      </c>
    </row>
    <row r="28" spans="1:14" ht="15.75" x14ac:dyDescent="0.25">
      <c r="A28" s="6">
        <v>2023</v>
      </c>
      <c r="B28" s="7" t="s">
        <v>36</v>
      </c>
      <c r="C28" s="8">
        <v>78.539480282608693</v>
      </c>
      <c r="F28" t="s">
        <v>26</v>
      </c>
      <c r="G28" s="5">
        <v>162.1166666666667</v>
      </c>
      <c r="H28" s="5">
        <v>169.82499999999999</v>
      </c>
      <c r="I28" s="5">
        <v>175.56</v>
      </c>
      <c r="J28" s="5">
        <v>167.62413793103448</v>
      </c>
      <c r="M28" s="3" t="s">
        <v>16</v>
      </c>
      <c r="N28" s="16">
        <f t="shared" si="0"/>
        <v>0.39737014174086543</v>
      </c>
    </row>
    <row r="29" spans="1:14" ht="15.75" x14ac:dyDescent="0.25">
      <c r="A29" s="12">
        <v>2023</v>
      </c>
      <c r="B29" s="13" t="s">
        <v>37</v>
      </c>
      <c r="C29" s="14">
        <v>83.755358416666667</v>
      </c>
      <c r="F29" t="s">
        <v>16</v>
      </c>
      <c r="G29" s="5">
        <v>190.65</v>
      </c>
      <c r="H29" s="5">
        <v>194.75</v>
      </c>
      <c r="I29" s="5">
        <v>199.76000000000002</v>
      </c>
      <c r="J29" s="5">
        <v>193.91724137931035</v>
      </c>
      <c r="M29" s="3" t="s">
        <v>27</v>
      </c>
      <c r="N29" s="16">
        <f t="shared" si="0"/>
        <v>0.41326536885134574</v>
      </c>
    </row>
    <row r="30" spans="1:14" ht="15.75" x14ac:dyDescent="0.25">
      <c r="A30" s="12">
        <v>2023</v>
      </c>
      <c r="B30" s="13" t="s">
        <v>38</v>
      </c>
      <c r="C30" s="11">
        <v>74.981547824999993</v>
      </c>
      <c r="F30" t="s">
        <v>27</v>
      </c>
      <c r="G30" s="5">
        <v>158.74166666666665</v>
      </c>
      <c r="H30" s="5">
        <v>169.54166666666666</v>
      </c>
      <c r="I30" s="5">
        <v>181.95999999999998</v>
      </c>
      <c r="J30" s="5">
        <v>167.21379310344827</v>
      </c>
      <c r="M30" s="3" t="s">
        <v>25</v>
      </c>
      <c r="N30" s="16">
        <f t="shared" si="0"/>
        <v>0.62353303317874342</v>
      </c>
    </row>
    <row r="31" spans="1:14" ht="16.5" thickBot="1" x14ac:dyDescent="0.3">
      <c r="A31" s="12">
        <v>2023</v>
      </c>
      <c r="B31" s="13" t="s">
        <v>39</v>
      </c>
      <c r="C31" s="11">
        <v>74.928252024999992</v>
      </c>
      <c r="F31" t="s">
        <v>25</v>
      </c>
      <c r="G31" s="5">
        <v>155.6</v>
      </c>
      <c r="H31" s="5">
        <v>165.69166666666669</v>
      </c>
      <c r="I31" s="5">
        <v>170.4</v>
      </c>
      <c r="J31" s="5">
        <v>162.32758620689654</v>
      </c>
      <c r="M31" s="4" t="s">
        <v>28</v>
      </c>
      <c r="N31" s="17">
        <f t="shared" si="0"/>
        <v>0.55675157164332856</v>
      </c>
    </row>
    <row r="32" spans="1:14" ht="15.75" x14ac:dyDescent="0.25">
      <c r="A32" s="12">
        <v>2023</v>
      </c>
      <c r="B32" s="13" t="s">
        <v>40</v>
      </c>
      <c r="C32" s="11">
        <v>80.368492428571415</v>
      </c>
      <c r="F32" t="s">
        <v>28</v>
      </c>
      <c r="G32" s="5">
        <v>157.60833333333335</v>
      </c>
      <c r="H32" s="5">
        <v>167.78333333333333</v>
      </c>
      <c r="I32" s="5">
        <v>174.34</v>
      </c>
      <c r="J32" s="5">
        <v>164.70344827586209</v>
      </c>
    </row>
    <row r="33" spans="1:3" ht="15.75" x14ac:dyDescent="0.25">
      <c r="A33" s="12">
        <v>2023</v>
      </c>
      <c r="B33" s="13" t="s">
        <v>41</v>
      </c>
      <c r="C33" s="11">
        <v>86.426703761904761</v>
      </c>
    </row>
    <row r="34" spans="1:3" ht="15.75" x14ac:dyDescent="0.25">
      <c r="A34" s="12">
        <v>2023</v>
      </c>
      <c r="B34" s="13" t="s">
        <v>42</v>
      </c>
      <c r="C34" s="11">
        <v>93.539339400000003</v>
      </c>
    </row>
    <row r="35" spans="1:3" ht="15.75" x14ac:dyDescent="0.25">
      <c r="A35" s="12">
        <v>2023</v>
      </c>
      <c r="B35" s="13" t="s">
        <v>43</v>
      </c>
      <c r="C35" s="11">
        <v>90.080343022727263</v>
      </c>
    </row>
    <row r="36" spans="1:3" ht="15.75" x14ac:dyDescent="0.25">
      <c r="A36" s="12">
        <v>2023</v>
      </c>
      <c r="B36" s="13" t="s">
        <v>45</v>
      </c>
      <c r="C36" s="11">
        <v>83.455368214285699</v>
      </c>
    </row>
    <row r="37" spans="1:3" ht="15.75" x14ac:dyDescent="0.25">
      <c r="A37" s="12">
        <v>2023</v>
      </c>
      <c r="B37" s="13" t="s">
        <v>46</v>
      </c>
      <c r="C37" s="11">
        <v>77.419721631578938</v>
      </c>
    </row>
  </sheetData>
  <phoneticPr fontId="8" type="noConversion"/>
  <conditionalFormatting sqref="N6:N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2D4F-4107-43B5-B2C4-6596CEF9112B}">
  <dimension ref="A1:E14"/>
  <sheetViews>
    <sheetView showGridLines="0" workbookViewId="0">
      <selection activeCell="I7" sqref="I7"/>
    </sheetView>
  </sheetViews>
  <sheetFormatPr defaultRowHeight="15" x14ac:dyDescent="0.25"/>
  <sheetData>
    <row r="1" spans="1:5" x14ac:dyDescent="0.25">
      <c r="A1" s="68" t="s">
        <v>153</v>
      </c>
      <c r="B1" s="68"/>
      <c r="C1" s="68"/>
      <c r="D1" s="68"/>
      <c r="E1" s="68"/>
    </row>
    <row r="2" spans="1:5" x14ac:dyDescent="0.25">
      <c r="A2" t="s">
        <v>154</v>
      </c>
    </row>
    <row r="3" spans="1:5" x14ac:dyDescent="0.25">
      <c r="A3" t="s">
        <v>155</v>
      </c>
    </row>
    <row r="4" spans="1:5" x14ac:dyDescent="0.25">
      <c r="A4" t="s">
        <v>156</v>
      </c>
    </row>
    <row r="6" spans="1:5" x14ac:dyDescent="0.25">
      <c r="A6" s="68" t="s">
        <v>157</v>
      </c>
      <c r="B6" s="68"/>
      <c r="C6" s="68"/>
      <c r="D6" s="68"/>
      <c r="E6" s="68"/>
    </row>
    <row r="7" spans="1:5" x14ac:dyDescent="0.25">
      <c r="A7" t="s">
        <v>158</v>
      </c>
    </row>
    <row r="8" spans="1:5" x14ac:dyDescent="0.25">
      <c r="A8" s="1"/>
    </row>
    <row r="9" spans="1:5" x14ac:dyDescent="0.25">
      <c r="A9" s="68" t="s">
        <v>159</v>
      </c>
      <c r="B9" s="68"/>
      <c r="C9" s="68"/>
      <c r="D9" s="68"/>
      <c r="E9" s="68"/>
    </row>
    <row r="10" spans="1:5" x14ac:dyDescent="0.25">
      <c r="A10" t="s">
        <v>160</v>
      </c>
    </row>
    <row r="11" spans="1:5" x14ac:dyDescent="0.25">
      <c r="A11" t="s">
        <v>161</v>
      </c>
    </row>
    <row r="12" spans="1:5" x14ac:dyDescent="0.25">
      <c r="A12" t="s">
        <v>162</v>
      </c>
    </row>
    <row r="13" spans="1:5" x14ac:dyDescent="0.25">
      <c r="A13" t="s">
        <v>163</v>
      </c>
    </row>
    <row r="14" spans="1:5" x14ac:dyDescent="0.25">
      <c r="A14" t="s">
        <v>164</v>
      </c>
    </row>
  </sheetData>
  <mergeCells count="3">
    <mergeCell ref="A1:E1"/>
    <mergeCell ref="A6:E6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Objectives</vt:lpstr>
      <vt:lpstr>Working_File</vt:lpstr>
      <vt:lpstr>Objective - 1</vt:lpstr>
      <vt:lpstr>Objective - 2</vt:lpstr>
      <vt:lpstr>Objective - 3</vt:lpstr>
      <vt:lpstr>Objective - 4</vt:lpstr>
      <vt:lpstr>Objective - 5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Toshit Soni</dc:creator>
  <cp:lastModifiedBy>admin</cp:lastModifiedBy>
  <dcterms:created xsi:type="dcterms:W3CDTF">2025-07-23T16:47:26Z</dcterms:created>
  <dcterms:modified xsi:type="dcterms:W3CDTF">2026-04-02T15:42:53Z</dcterms:modified>
</cp:coreProperties>
</file>